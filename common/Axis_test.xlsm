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4.xml" ContentType="application/vnd.ms-excel.controlproperties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trlProps/ctrlProp5.xml" ContentType="application/vnd.ms-excel.controlproperties+xml"/>
  <Override PartName="/xl/charts/chart1.xml" ContentType="application/vnd.openxmlformats-officedocument.drawingml.chart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axisalternatives1-my.sharepoint.com/personal/l_baduet_axisalternatives_com/Documents/Documents/mon pricing/projet/Valo/common/"/>
    </mc:Choice>
  </mc:AlternateContent>
  <xr:revisionPtr revIDLastSave="0" documentId="8_{000E9913-FCCA-4F83-9698-37B6A9426194}" xr6:coauthVersionLast="47" xr6:coauthVersionMax="47" xr10:uidLastSave="{00000000-0000-0000-0000-000000000000}"/>
  <bookViews>
    <workbookView xWindow="-108" yWindow="-108" windowWidth="23256" windowHeight="12456" activeTab="4" xr2:uid="{71AFAE33-16CD-4F47-AB4E-C8D72A89D700}"/>
  </bookViews>
  <sheets>
    <sheet name="Parametres" sheetId="3" r:id="rId1"/>
    <sheet name="Option" sheetId="2" r:id="rId2"/>
    <sheet name="IRS Strip" sheetId="4" r:id="rId3"/>
    <sheet name="CDS Strip" sheetId="6" r:id="rId4"/>
    <sheet name="CDS" sheetId="8" r:id="rId5"/>
    <sheet name="Fwd Intensity" sheetId="7" r:id="rId6"/>
    <sheet name="CDO Bespoke" sheetId="11" r:id="rId7"/>
    <sheet name="FRTB" sheetId="12" r:id="rId8"/>
  </sheets>
  <functionGroups builtInGroupCount="19"/>
  <externalReferences>
    <externalReference r:id="rId9"/>
    <externalReference r:id="rId10"/>
    <externalReference r:id="rId11"/>
  </externalReferences>
  <definedNames>
    <definedName name="BeSpokeStrike" localSheetId="6">#REF!</definedName>
    <definedName name="BeSpokeStrike">#REF!</definedName>
    <definedName name="CDSRollDate" localSheetId="6">'[1]CDS Strip'!$C$6</definedName>
    <definedName name="CDSRollDate">'CDS Strip'!$C$7</definedName>
    <definedName name="CDXStrike" localSheetId="6">#REF!</definedName>
    <definedName name="CDXStrike">#REF!</definedName>
    <definedName name="CorrelResult" localSheetId="6">#REF!</definedName>
    <definedName name="CorrelResult">#REF!</definedName>
    <definedName name="CorrelStart" localSheetId="6">#REF!</definedName>
    <definedName name="CorrelStart">#REF!</definedName>
    <definedName name="Currency" localSheetId="6">'[1]CDS Strip'!$D$11:$D$310</definedName>
    <definedName name="Currency">'[2]CDS Strip'!$D$11:$D$310</definedName>
    <definedName name="Currency2" localSheetId="6">'CDO Bespoke'!$B$8</definedName>
    <definedName name="Currency2">#REF!</definedName>
    <definedName name="CurrencyName">#REF!</definedName>
    <definedName name="CurvePointsList">Parametres!$D$15:$D$16</definedName>
    <definedName name="Expected_Recovery" localSheetId="6">[1]CDO2!$C$8</definedName>
    <definedName name="Expected_Recovery">#REF!</definedName>
    <definedName name="ExpLossResult" localSheetId="6">#REF!</definedName>
    <definedName name="ExpLossResult">#REF!</definedName>
    <definedName name="ExpLossStart" localSheetId="6">#REF!</definedName>
    <definedName name="ExpLossStart">#REF!</definedName>
    <definedName name="FXSpot">#REF!</definedName>
    <definedName name="iTraxxStrike" localSheetId="6">#REF!</definedName>
    <definedName name="iTraxxStrike">#REF!</definedName>
    <definedName name="kCDXStart" localSheetId="6">#REF!</definedName>
    <definedName name="kCDXStart">#REF!</definedName>
    <definedName name="kiTraxxStart" localSheetId="6">#REF!</definedName>
    <definedName name="kiTraxxStart">#REF!</definedName>
    <definedName name="MappingMethodo" localSheetId="6">#REF!</definedName>
    <definedName name="MappingMethodo">#REF!</definedName>
    <definedName name="NextCDXStrike" localSheetId="6">#REF!</definedName>
    <definedName name="NextCDXStrike">#REF!</definedName>
    <definedName name="optionFlag">Parametres!$B$3:$B$4</definedName>
    <definedName name="optionPosition">Parametres!$D$3:$D$4</definedName>
    <definedName name="Parameter_Date" localSheetId="6">'[1]IRS Strip'!$C$11</definedName>
    <definedName name="Parameter_Date">Parametres!$E$7</definedName>
    <definedName name="PM_Correl" localSheetId="6">#REF!</definedName>
    <definedName name="PM_Correl">#REF!</definedName>
    <definedName name="PM_Current" localSheetId="6">#REF!</definedName>
    <definedName name="PM_Current">#REF!</definedName>
    <definedName name="PM_Error" localSheetId="6">#REF!</definedName>
    <definedName name="PM_Error">#REF!</definedName>
    <definedName name="PM_kCDX" localSheetId="6">#REF!</definedName>
    <definedName name="PM_kCDX">#REF!</definedName>
    <definedName name="PM_kiTraxx" localSheetId="6">#REF!</definedName>
    <definedName name="PM_kiTraxx">#REF!</definedName>
    <definedName name="PM_Next" localSheetId="6">#REF!</definedName>
    <definedName name="PM_Next">#REF!</definedName>
    <definedName name="poids" localSheetId="6">'CDO Bespoke'!$M$17</definedName>
    <definedName name="poids">#REF!</definedName>
    <definedName name="ProbaMatchBespokeStrike" localSheetId="6">#REF!</definedName>
    <definedName name="ProbaMatchBespokeStrike">#REF!</definedName>
    <definedName name="ProjectionCalculation" localSheetId="6">#REF!</definedName>
    <definedName name="ProjectionCalculation">#REF!</definedName>
    <definedName name="RatioDifference" localSheetId="6">#REF!</definedName>
    <definedName name="RatioDifference">#REF!</definedName>
    <definedName name="SpreadCurveMaturities" localSheetId="6">'[1]CDS Strip'!$E$9:$M$9</definedName>
    <definedName name="SpreadCurveMaturities">'CDS Strip'!$E$10:$M$10</definedName>
    <definedName name="StrikeStart" localSheetId="6">#REF!</definedName>
    <definedName name="StrikeStart">#REF!</definedName>
    <definedName name="StrippedDefaultProb" localSheetId="6">'[1]CDS Strip'!$N$11:$AE$310</definedName>
    <definedName name="StrippedDefaultProb">'[2]CDS Strip'!$N$11:$AE$310</definedName>
    <definedName name="sumpoi" localSheetId="6">'CDO Bespoke'!$M$17</definedName>
    <definedName name="sumpoi">#REF!</definedName>
    <definedName name="sumpoids" localSheetId="6">'CDO Bespoke'!$N$15</definedName>
    <definedName name="sumpoids">#REF!</definedName>
    <definedName name="SumWeights" localSheetId="6">'CDO Bespoke'!$B$18</definedName>
    <definedName name="SumWeights">#REF!</definedName>
    <definedName name="Swap_Convention">Parametres!$B$7:$B$11</definedName>
    <definedName name="SwapConventions" localSheetId="6">[1]Conventions!$H$16:$H$20</definedName>
    <definedName name="SwapConventions">#REF!</definedName>
    <definedName name="test" localSheetId="6">'CDO Bespoke'!#REF!</definedName>
    <definedName name="test">#REF!</definedName>
    <definedName name="TrueFalseList" localSheetId="6">[1]Conventions!$H$25:$H$26</definedName>
    <definedName name="TrueFalseList">Parametres!$B$15:$B$16</definedName>
    <definedName name="Underlying">Parametres!$F$3:$F$5</definedName>
    <definedName name="_xlnm.Print_Area" localSheetId="6">'CDO Bespoke'!$A$4:$O$37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4" i="8" l="1" a="1"/>
  <c r="F14" i="8"/>
  <c r="G14" i="8"/>
  <c r="H14" i="8"/>
  <c r="I14" i="8"/>
  <c r="J14" i="8"/>
  <c r="K14" i="8"/>
  <c r="F15" i="8"/>
  <c r="G15" i="8"/>
  <c r="H15" i="8"/>
  <c r="I15" i="8"/>
  <c r="J15" i="8"/>
  <c r="K15" i="8"/>
  <c r="F16" i="8"/>
  <c r="G16" i="8"/>
  <c r="H16" i="8"/>
  <c r="I16" i="8"/>
  <c r="J16" i="8"/>
  <c r="K16" i="8"/>
  <c r="F17" i="8"/>
  <c r="G17" i="8"/>
  <c r="H17" i="8"/>
  <c r="I17" i="8"/>
  <c r="J17" i="8"/>
  <c r="K17" i="8"/>
  <c r="F18" i="8"/>
  <c r="G18" i="8"/>
  <c r="H18" i="8"/>
  <c r="I18" i="8"/>
  <c r="J18" i="8"/>
  <c r="K18" i="8"/>
  <c r="F19" i="8"/>
  <c r="G19" i="8"/>
  <c r="H19" i="8"/>
  <c r="I19" i="8"/>
  <c r="J19" i="8"/>
  <c r="K19" i="8"/>
  <c r="F20" i="8"/>
  <c r="G20" i="8"/>
  <c r="H20" i="8"/>
  <c r="I20" i="8"/>
  <c r="J20" i="8"/>
  <c r="K20" i="8"/>
  <c r="F21" i="8"/>
  <c r="G21" i="8"/>
  <c r="H21" i="8"/>
  <c r="I21" i="8"/>
  <c r="J21" i="8"/>
  <c r="K21" i="8"/>
  <c r="F22" i="8"/>
  <c r="G22" i="8"/>
  <c r="H22" i="8"/>
  <c r="I22" i="8"/>
  <c r="J22" i="8"/>
  <c r="K22" i="8"/>
  <c r="C7" i="6"/>
  <c r="N10" i="6"/>
  <c r="O10" i="6"/>
  <c r="P10" i="6"/>
  <c r="Q10" i="6"/>
  <c r="R10" i="6"/>
  <c r="S10" i="6"/>
  <c r="T10" i="6"/>
  <c r="U10" i="6"/>
  <c r="V10" i="6"/>
  <c r="W10" i="6"/>
  <c r="X10" i="6"/>
  <c r="Y10" i="6"/>
  <c r="Z10" i="6"/>
  <c r="AA10" i="6"/>
  <c r="AB10" i="6"/>
  <c r="AC10" i="6"/>
  <c r="AD10" i="6"/>
  <c r="AE10" i="6"/>
  <c r="E11" i="6" a="1"/>
  <c r="E11" i="6"/>
  <c r="F11" i="6" a="1"/>
  <c r="F11" i="6"/>
  <c r="G11" i="6" a="1"/>
  <c r="G11" i="6"/>
  <c r="H11" i="6" a="1"/>
  <c r="H11" i="6"/>
  <c r="I11" i="6" a="1"/>
  <c r="I11" i="6"/>
  <c r="J11" i="6" a="1"/>
  <c r="J11" i="6"/>
  <c r="K11" i="6" a="1"/>
  <c r="K11" i="6"/>
  <c r="L11" i="6" a="1"/>
  <c r="L11" i="6"/>
  <c r="M11" i="6" a="1"/>
  <c r="M11" i="6"/>
  <c r="N12" i="6" a="1"/>
  <c r="N12" i="6"/>
  <c r="O12" i="6"/>
  <c r="P12" i="6"/>
  <c r="Q12" i="6"/>
  <c r="R12" i="6"/>
  <c r="S12" i="6"/>
  <c r="T12" i="6"/>
  <c r="U12" i="6"/>
  <c r="V12" i="6"/>
  <c r="W12" i="6"/>
  <c r="X12" i="6"/>
  <c r="Y12" i="6"/>
  <c r="Z12" i="6"/>
  <c r="AA12" i="6"/>
  <c r="AB12" i="6"/>
  <c r="AC12" i="6"/>
  <c r="AD12" i="6"/>
  <c r="AE12" i="6"/>
  <c r="N13" i="6" a="1"/>
  <c r="N13" i="6"/>
  <c r="A14" i="6"/>
  <c r="N14" i="6" a="1"/>
  <c r="N14" i="6"/>
  <c r="A15" i="6"/>
  <c r="N15" i="6" a="1"/>
  <c r="N15" i="6"/>
  <c r="A16" i="6"/>
  <c r="N16" i="6" a="1"/>
  <c r="N16" i="6"/>
  <c r="A17" i="6"/>
  <c r="N17" i="6" a="1"/>
  <c r="N17" i="6"/>
  <c r="A18" i="6"/>
  <c r="N18" i="6" a="1"/>
  <c r="N18" i="6"/>
  <c r="A19" i="6"/>
  <c r="N19" i="6" a="1"/>
  <c r="N19" i="6"/>
  <c r="A20" i="6"/>
  <c r="N20" i="6" a="1"/>
  <c r="N20" i="6"/>
  <c r="A21" i="6"/>
  <c r="N21" i="6" a="1"/>
  <c r="N21" i="6"/>
  <c r="A22" i="6"/>
  <c r="N22" i="6" a="1"/>
  <c r="N22" i="6"/>
  <c r="A23" i="6"/>
  <c r="N23" i="6" a="1"/>
  <c r="N23" i="6"/>
  <c r="A24" i="6"/>
  <c r="N24" i="6" a="1"/>
  <c r="N24" i="6"/>
  <c r="A25" i="6"/>
  <c r="N25" i="6" a="1"/>
  <c r="N25" i="6"/>
  <c r="A26" i="6"/>
  <c r="N26" i="6" a="1"/>
  <c r="N26" i="6"/>
  <c r="A27" i="6"/>
  <c r="N27" i="6" a="1"/>
  <c r="N27" i="6"/>
  <c r="A28" i="6"/>
  <c r="N28" i="6" a="1"/>
  <c r="N28" i="6"/>
  <c r="A29" i="6"/>
  <c r="N29" i="6" a="1"/>
  <c r="N29" i="6"/>
  <c r="A30" i="6"/>
  <c r="N30" i="6" a="1"/>
  <c r="N30" i="6"/>
  <c r="A31" i="6"/>
  <c r="N31" i="6" a="1"/>
  <c r="N31" i="6"/>
  <c r="A32" i="6"/>
  <c r="N32" i="6" a="1"/>
  <c r="N32" i="6"/>
  <c r="A33" i="6"/>
  <c r="N33" i="6" a="1"/>
  <c r="N33" i="6"/>
  <c r="A34" i="6"/>
  <c r="N34" i="6" a="1"/>
  <c r="N34" i="6"/>
  <c r="A35" i="6"/>
  <c r="N35" i="6" a="1"/>
  <c r="N35" i="6"/>
  <c r="A36" i="6"/>
  <c r="N36" i="6" a="1"/>
  <c r="N36" i="6"/>
  <c r="A37" i="6"/>
  <c r="N37" i="6" a="1"/>
  <c r="N37" i="6"/>
  <c r="A38" i="6"/>
  <c r="N38" i="6" a="1"/>
  <c r="N38" i="6"/>
  <c r="A39" i="6"/>
  <c r="N39" i="6" a="1"/>
  <c r="N39" i="6"/>
  <c r="A40" i="6"/>
  <c r="N40" i="6" a="1"/>
  <c r="N40" i="6"/>
  <c r="A41" i="6"/>
  <c r="N41" i="6" a="1"/>
  <c r="N41" i="6"/>
  <c r="A42" i="6"/>
  <c r="N42" i="6" a="1"/>
  <c r="N42" i="6"/>
  <c r="A43" i="6"/>
  <c r="N43" i="6" a="1"/>
  <c r="N43" i="6"/>
  <c r="A44" i="6"/>
  <c r="N44" i="6" a="1"/>
  <c r="N44" i="6"/>
  <c r="A45" i="6"/>
  <c r="N45" i="6" a="1"/>
  <c r="N45" i="6"/>
  <c r="A46" i="6"/>
  <c r="N46" i="6" a="1"/>
  <c r="N46" i="6"/>
  <c r="A47" i="6"/>
  <c r="N47" i="6" a="1"/>
  <c r="N47" i="6"/>
  <c r="A48" i="6"/>
  <c r="N48" i="6" a="1"/>
  <c r="N48" i="6"/>
  <c r="A49" i="6"/>
  <c r="N49" i="6" a="1"/>
  <c r="N49" i="6"/>
  <c r="A50" i="6"/>
  <c r="N50" i="6" a="1"/>
  <c r="N50" i="6"/>
  <c r="A51" i="6"/>
  <c r="N51" i="6" a="1"/>
  <c r="N51" i="6"/>
  <c r="A52" i="6"/>
  <c r="N52" i="6" a="1"/>
  <c r="N52" i="6"/>
  <c r="A53" i="6"/>
  <c r="N53" i="6" a="1"/>
  <c r="N53" i="6"/>
  <c r="A54" i="6"/>
  <c r="N54" i="6" a="1"/>
  <c r="N54" i="6"/>
  <c r="A55" i="6"/>
  <c r="N55" i="6" a="1"/>
  <c r="N55" i="6"/>
  <c r="A56" i="6"/>
  <c r="N56" i="6" a="1"/>
  <c r="N56" i="6"/>
  <c r="A57" i="6"/>
  <c r="N57" i="6" a="1"/>
  <c r="N57" i="6"/>
  <c r="A58" i="6"/>
  <c r="N58" i="6" a="1"/>
  <c r="N58" i="6"/>
  <c r="A59" i="6"/>
  <c r="N59" i="6" a="1"/>
  <c r="N59" i="6"/>
  <c r="A60" i="6"/>
  <c r="N60" i="6" a="1"/>
  <c r="N60" i="6"/>
  <c r="A61" i="6"/>
  <c r="N61" i="6" a="1"/>
  <c r="N61" i="6"/>
  <c r="A62" i="6"/>
  <c r="N62" i="6" a="1"/>
  <c r="N62" i="6"/>
  <c r="A63" i="6"/>
  <c r="N63" i="6" a="1"/>
  <c r="N63" i="6"/>
  <c r="A64" i="6"/>
  <c r="N64" i="6" a="1"/>
  <c r="N64" i="6"/>
  <c r="A65" i="6"/>
  <c r="N65" i="6" a="1"/>
  <c r="N65" i="6"/>
  <c r="A66" i="6"/>
  <c r="N66" i="6" a="1"/>
  <c r="N66" i="6"/>
  <c r="A67" i="6"/>
  <c r="N67" i="6" a="1"/>
  <c r="N67" i="6"/>
  <c r="A68" i="6"/>
  <c r="N68" i="6" a="1"/>
  <c r="N68" i="6"/>
  <c r="A69" i="6"/>
  <c r="N69" i="6" a="1"/>
  <c r="N69" i="6"/>
  <c r="A70" i="6"/>
  <c r="N70" i="6" a="1"/>
  <c r="N70" i="6"/>
  <c r="A71" i="6"/>
  <c r="N71" i="6" a="1"/>
  <c r="N71" i="6"/>
  <c r="A72" i="6"/>
  <c r="N72" i="6" a="1"/>
  <c r="N72" i="6"/>
  <c r="A73" i="6"/>
  <c r="N73" i="6" a="1"/>
  <c r="N73" i="6"/>
  <c r="A74" i="6"/>
  <c r="N74" i="6" a="1"/>
  <c r="N74" i="6"/>
  <c r="A75" i="6"/>
  <c r="N75" i="6" a="1"/>
  <c r="N75" i="6"/>
  <c r="A76" i="6"/>
  <c r="N76" i="6" a="1"/>
  <c r="N76" i="6"/>
  <c r="A77" i="6"/>
  <c r="N77" i="6" a="1"/>
  <c r="N77" i="6"/>
  <c r="A78" i="6"/>
  <c r="N78" i="6" a="1"/>
  <c r="N78" i="6"/>
  <c r="A79" i="6"/>
  <c r="N79" i="6" a="1"/>
  <c r="N79" i="6"/>
  <c r="A80" i="6"/>
  <c r="N80" i="6" a="1"/>
  <c r="N80" i="6"/>
  <c r="A81" i="6"/>
  <c r="N81" i="6" a="1"/>
  <c r="N81" i="6"/>
  <c r="A82" i="6"/>
  <c r="N82" i="6" a="1"/>
  <c r="N82" i="6"/>
  <c r="A83" i="6"/>
  <c r="N83" i="6" a="1"/>
  <c r="N83" i="6"/>
  <c r="A84" i="6"/>
  <c r="N84" i="6" a="1"/>
  <c r="N84" i="6"/>
  <c r="A85" i="6"/>
  <c r="N85" i="6" a="1"/>
  <c r="N85" i="6"/>
  <c r="A86" i="6"/>
  <c r="N86" i="6" a="1"/>
  <c r="N86" i="6"/>
  <c r="A87" i="6"/>
  <c r="N87" i="6" a="1"/>
  <c r="N87" i="6"/>
  <c r="A88" i="6"/>
  <c r="N88" i="6" a="1"/>
  <c r="N88" i="6"/>
  <c r="A89" i="6"/>
  <c r="N89" i="6" a="1"/>
  <c r="N89" i="6"/>
  <c r="A90" i="6"/>
  <c r="N90" i="6" a="1"/>
  <c r="N90" i="6"/>
  <c r="A91" i="6"/>
  <c r="N91" i="6" a="1"/>
  <c r="N91" i="6"/>
  <c r="A92" i="6"/>
  <c r="N92" i="6" a="1"/>
  <c r="N92" i="6"/>
  <c r="A93" i="6"/>
  <c r="N93" i="6" a="1"/>
  <c r="N93" i="6"/>
  <c r="A94" i="6"/>
  <c r="N94" i="6" a="1"/>
  <c r="N94" i="6"/>
  <c r="A95" i="6"/>
  <c r="N95" i="6" a="1"/>
  <c r="N95" i="6"/>
  <c r="A96" i="6"/>
  <c r="N96" i="6" a="1"/>
  <c r="N96" i="6"/>
  <c r="A97" i="6"/>
  <c r="N97" i="6" a="1"/>
  <c r="N97" i="6"/>
  <c r="A98" i="6"/>
  <c r="N98" i="6" a="1"/>
  <c r="N98" i="6"/>
  <c r="A99" i="6"/>
  <c r="N99" i="6" a="1"/>
  <c r="N99" i="6"/>
  <c r="A100" i="6"/>
  <c r="N100" i="6" a="1"/>
  <c r="N100" i="6"/>
  <c r="A101" i="6"/>
  <c r="N101" i="6" a="1"/>
  <c r="N101" i="6"/>
  <c r="A102" i="6"/>
  <c r="N102" i="6" a="1"/>
  <c r="N102" i="6"/>
  <c r="A103" i="6"/>
  <c r="N103" i="6" a="1"/>
  <c r="N103" i="6"/>
  <c r="A104" i="6"/>
  <c r="N104" i="6" a="1"/>
  <c r="N104" i="6"/>
  <c r="A105" i="6"/>
  <c r="N105" i="6" a="1"/>
  <c r="N105" i="6"/>
  <c r="A106" i="6"/>
  <c r="N106" i="6" a="1"/>
  <c r="N106" i="6"/>
  <c r="A107" i="6"/>
  <c r="N107" i="6" a="1"/>
  <c r="N107" i="6"/>
  <c r="A108" i="6"/>
  <c r="N108" i="6" a="1"/>
  <c r="N108" i="6"/>
  <c r="A109" i="6"/>
  <c r="N109" i="6" a="1"/>
  <c r="N109" i="6"/>
  <c r="A110" i="6"/>
  <c r="N110" i="6" a="1"/>
  <c r="N110" i="6"/>
  <c r="A111" i="6"/>
  <c r="N111" i="6" a="1"/>
  <c r="N111" i="6"/>
  <c r="A112" i="6"/>
  <c r="N112" i="6" a="1"/>
  <c r="N112" i="6"/>
  <c r="A113" i="6"/>
  <c r="N113" i="6" a="1"/>
  <c r="N113" i="6"/>
  <c r="A114" i="6"/>
  <c r="N114" i="6" a="1"/>
  <c r="N114" i="6"/>
  <c r="A115" i="6"/>
  <c r="N115" i="6" a="1"/>
  <c r="N115" i="6"/>
  <c r="A116" i="6"/>
  <c r="N116" i="6" a="1"/>
  <c r="N116" i="6"/>
  <c r="A117" i="6"/>
  <c r="N117" i="6" a="1"/>
  <c r="N117" i="6"/>
  <c r="A118" i="6"/>
  <c r="N118" i="6" a="1"/>
  <c r="N118" i="6"/>
  <c r="A119" i="6"/>
  <c r="N119" i="6" a="1"/>
  <c r="N119" i="6"/>
  <c r="A120" i="6"/>
  <c r="N120" i="6" a="1"/>
  <c r="N120" i="6"/>
  <c r="A121" i="6"/>
  <c r="N121" i="6" a="1"/>
  <c r="N121" i="6"/>
  <c r="A122" i="6"/>
  <c r="N122" i="6" a="1"/>
  <c r="N122" i="6"/>
  <c r="A123" i="6"/>
  <c r="N123" i="6" a="1"/>
  <c r="N123" i="6"/>
  <c r="A124" i="6"/>
  <c r="N124" i="6" a="1"/>
  <c r="N124" i="6"/>
  <c r="A125" i="6"/>
  <c r="N125" i="6" a="1"/>
  <c r="N125" i="6"/>
  <c r="A126" i="6"/>
  <c r="N126" i="6" a="1"/>
  <c r="N126" i="6"/>
  <c r="A127" i="6"/>
  <c r="N127" i="6" a="1"/>
  <c r="N127" i="6"/>
  <c r="A128" i="6"/>
  <c r="N128" i="6" a="1"/>
  <c r="N128" i="6"/>
  <c r="A129" i="6"/>
  <c r="N129" i="6" a="1"/>
  <c r="N129" i="6"/>
  <c r="A130" i="6"/>
  <c r="N130" i="6" a="1"/>
  <c r="N130" i="6"/>
  <c r="A131" i="6"/>
  <c r="N131" i="6" a="1"/>
  <c r="N131" i="6"/>
  <c r="A132" i="6"/>
  <c r="N132" i="6" a="1"/>
  <c r="N132" i="6"/>
  <c r="A133" i="6"/>
  <c r="N133" i="6" a="1"/>
  <c r="N133" i="6"/>
  <c r="A134" i="6"/>
  <c r="N134" i="6" a="1"/>
  <c r="N134" i="6"/>
  <c r="A135" i="6"/>
  <c r="N135" i="6" a="1"/>
  <c r="N135" i="6"/>
  <c r="A136" i="6"/>
  <c r="N136" i="6" a="1"/>
  <c r="N136" i="6"/>
  <c r="A137" i="6"/>
  <c r="N137" i="6" a="1"/>
  <c r="N137" i="6"/>
  <c r="A138" i="6"/>
  <c r="N138" i="6" a="1"/>
  <c r="N138" i="6"/>
  <c r="A139" i="6"/>
  <c r="N139" i="6" a="1"/>
  <c r="N139" i="6"/>
  <c r="A140" i="6"/>
  <c r="N140" i="6" a="1"/>
  <c r="N140" i="6"/>
  <c r="A141" i="6"/>
  <c r="N141" i="6" a="1"/>
  <c r="N141" i="6"/>
  <c r="A142" i="6"/>
  <c r="N142" i="6" a="1"/>
  <c r="N142" i="6"/>
  <c r="A143" i="6"/>
  <c r="N143" i="6" a="1"/>
  <c r="N143" i="6"/>
  <c r="A144" i="6"/>
  <c r="N144" i="6" a="1"/>
  <c r="N144" i="6"/>
  <c r="A145" i="6"/>
  <c r="N145" i="6" a="1"/>
  <c r="N145" i="6"/>
  <c r="A146" i="6"/>
  <c r="N146" i="6" a="1"/>
  <c r="N146" i="6"/>
  <c r="A147" i="6"/>
  <c r="N147" i="6" a="1"/>
  <c r="N147" i="6"/>
  <c r="A148" i="6"/>
  <c r="N148" i="6" a="1"/>
  <c r="N148" i="6"/>
  <c r="A149" i="6"/>
  <c r="N149" i="6" a="1"/>
  <c r="N149" i="6"/>
  <c r="A150" i="6"/>
  <c r="N150" i="6" a="1"/>
  <c r="N150" i="6"/>
  <c r="A151" i="6"/>
  <c r="N151" i="6" a="1"/>
  <c r="N151" i="6"/>
  <c r="A152" i="6"/>
  <c r="N152" i="6" a="1"/>
  <c r="N152" i="6"/>
  <c r="A153" i="6"/>
  <c r="N153" i="6" a="1"/>
  <c r="N153" i="6"/>
  <c r="A154" i="6"/>
  <c r="N154" i="6" a="1"/>
  <c r="N154" i="6"/>
  <c r="A155" i="6"/>
  <c r="N155" i="6" a="1"/>
  <c r="N155" i="6"/>
  <c r="A156" i="6"/>
  <c r="N156" i="6" a="1"/>
  <c r="N156" i="6"/>
  <c r="A157" i="6"/>
  <c r="N157" i="6" a="1"/>
  <c r="N157" i="6"/>
  <c r="A158" i="6"/>
  <c r="N158" i="6" a="1"/>
  <c r="N158" i="6"/>
  <c r="A159" i="6"/>
  <c r="N159" i="6" a="1"/>
  <c r="N159" i="6"/>
  <c r="A160" i="6"/>
  <c r="N160" i="6" a="1"/>
  <c r="N160" i="6"/>
  <c r="A161" i="6"/>
  <c r="N161" i="6" a="1"/>
  <c r="N161" i="6"/>
  <c r="A162" i="6"/>
  <c r="N162" i="6" a="1"/>
  <c r="N162" i="6"/>
  <c r="A163" i="6"/>
  <c r="N163" i="6" a="1"/>
  <c r="N163" i="6"/>
  <c r="A164" i="6"/>
  <c r="N164" i="6" a="1"/>
  <c r="N164" i="6"/>
  <c r="A165" i="6"/>
  <c r="N165" i="6" a="1"/>
  <c r="N165" i="6"/>
  <c r="A166" i="6"/>
  <c r="N166" i="6" a="1"/>
  <c r="N166" i="6"/>
  <c r="A167" i="6"/>
  <c r="N167" i="6" a="1"/>
  <c r="N167" i="6"/>
  <c r="A168" i="6"/>
  <c r="N168" i="6" a="1"/>
  <c r="N168" i="6"/>
  <c r="A169" i="6"/>
  <c r="N169" i="6" a="1"/>
  <c r="N169" i="6"/>
  <c r="A170" i="6"/>
  <c r="N170" i="6" a="1"/>
  <c r="N170" i="6"/>
  <c r="A171" i="6"/>
  <c r="N171" i="6" a="1"/>
  <c r="N171" i="6"/>
  <c r="A172" i="6"/>
  <c r="N172" i="6" a="1"/>
  <c r="N172" i="6"/>
  <c r="A173" i="6"/>
  <c r="N173" i="6" a="1"/>
  <c r="N173" i="6"/>
  <c r="A174" i="6"/>
  <c r="N174" i="6" a="1"/>
  <c r="N174" i="6"/>
  <c r="A175" i="6"/>
  <c r="N175" i="6" a="1"/>
  <c r="N175" i="6"/>
  <c r="A176" i="6"/>
  <c r="N176" i="6" a="1"/>
  <c r="N176" i="6"/>
  <c r="A177" i="6"/>
  <c r="N177" i="6" a="1"/>
  <c r="N177" i="6"/>
  <c r="A178" i="6"/>
  <c r="N178" i="6" a="1"/>
  <c r="N178" i="6"/>
  <c r="A179" i="6"/>
  <c r="N179" i="6" a="1"/>
  <c r="N179" i="6"/>
  <c r="A180" i="6"/>
  <c r="N180" i="6" a="1"/>
  <c r="N180" i="6"/>
  <c r="A181" i="6"/>
  <c r="N181" i="6" a="1"/>
  <c r="N181" i="6"/>
  <c r="A182" i="6"/>
  <c r="N182" i="6" a="1"/>
  <c r="N182" i="6"/>
  <c r="A183" i="6"/>
  <c r="N183" i="6" a="1"/>
  <c r="N183" i="6"/>
  <c r="A184" i="6"/>
  <c r="N184" i="6" a="1"/>
  <c r="N184" i="6"/>
  <c r="A185" i="6"/>
  <c r="N185" i="6" a="1"/>
  <c r="N185" i="6"/>
  <c r="A186" i="6"/>
  <c r="N186" i="6" a="1"/>
  <c r="N186" i="6"/>
  <c r="A187" i="6"/>
  <c r="N187" i="6" a="1"/>
  <c r="N187" i="6"/>
  <c r="A188" i="6"/>
  <c r="N188" i="6" a="1"/>
  <c r="N188" i="6"/>
  <c r="A189" i="6"/>
  <c r="N189" i="6" a="1"/>
  <c r="N189" i="6"/>
  <c r="A190" i="6"/>
  <c r="N190" i="6" a="1"/>
  <c r="N190" i="6"/>
  <c r="A191" i="6"/>
  <c r="N191" i="6" a="1"/>
  <c r="N191" i="6"/>
  <c r="A192" i="6"/>
  <c r="N192" i="6" a="1"/>
  <c r="N192" i="6"/>
  <c r="A193" i="6"/>
  <c r="N193" i="6" a="1"/>
  <c r="N193" i="6"/>
  <c r="A194" i="6"/>
  <c r="N194" i="6" a="1"/>
  <c r="N194" i="6"/>
  <c r="A195" i="6"/>
  <c r="N195" i="6" a="1"/>
  <c r="N195" i="6"/>
  <c r="A196" i="6"/>
  <c r="N196" i="6" a="1"/>
  <c r="N196" i="6"/>
  <c r="A197" i="6"/>
  <c r="N197" i="6" a="1"/>
  <c r="N197" i="6"/>
  <c r="A198" i="6"/>
  <c r="N198" i="6" a="1"/>
  <c r="N198" i="6"/>
  <c r="A199" i="6"/>
  <c r="N199" i="6" a="1"/>
  <c r="N199" i="6"/>
  <c r="A200" i="6"/>
  <c r="N200" i="6" a="1"/>
  <c r="N200" i="6"/>
  <c r="A201" i="6"/>
  <c r="N201" i="6" a="1"/>
  <c r="N201" i="6"/>
  <c r="A202" i="6"/>
  <c r="N202" i="6" a="1"/>
  <c r="N202" i="6"/>
  <c r="A203" i="6"/>
  <c r="N203" i="6" a="1"/>
  <c r="N203" i="6"/>
  <c r="A204" i="6"/>
  <c r="N204" i="6" a="1"/>
  <c r="N204" i="6"/>
  <c r="A205" i="6"/>
  <c r="N205" i="6" a="1"/>
  <c r="N205" i="6"/>
  <c r="A206" i="6"/>
  <c r="N206" i="6" a="1"/>
  <c r="N206" i="6"/>
  <c r="A207" i="6"/>
  <c r="N207" i="6" a="1"/>
  <c r="N207" i="6"/>
  <c r="A208" i="6"/>
  <c r="N208" i="6" a="1"/>
  <c r="N208" i="6"/>
  <c r="A209" i="6"/>
  <c r="N209" i="6" a="1"/>
  <c r="N209" i="6"/>
  <c r="A210" i="6"/>
  <c r="N210" i="6" a="1"/>
  <c r="N210" i="6"/>
  <c r="A211" i="6"/>
  <c r="N211" i="6" a="1"/>
  <c r="N211" i="6"/>
  <c r="A212" i="6"/>
  <c r="N212" i="6" a="1"/>
  <c r="N212" i="6"/>
  <c r="A213" i="6"/>
  <c r="N213" i="6" a="1"/>
  <c r="N213" i="6"/>
  <c r="A214" i="6"/>
  <c r="N214" i="6" a="1"/>
  <c r="N214" i="6"/>
  <c r="A215" i="6"/>
  <c r="N215" i="6" a="1"/>
  <c r="N215" i="6"/>
  <c r="A216" i="6"/>
  <c r="N216" i="6" a="1"/>
  <c r="N216" i="6"/>
  <c r="A217" i="6"/>
  <c r="N217" i="6" a="1"/>
  <c r="N217" i="6"/>
  <c r="A218" i="6"/>
  <c r="N218" i="6" a="1"/>
  <c r="N218" i="6"/>
  <c r="A219" i="6"/>
  <c r="N219" i="6" a="1"/>
  <c r="N219" i="6"/>
  <c r="A220" i="6"/>
  <c r="N220" i="6" a="1"/>
  <c r="N220" i="6"/>
  <c r="A221" i="6"/>
  <c r="N221" i="6" a="1"/>
  <c r="N221" i="6"/>
  <c r="A222" i="6"/>
  <c r="N222" i="6" a="1"/>
  <c r="N222" i="6"/>
  <c r="A223" i="6"/>
  <c r="N223" i="6" a="1"/>
  <c r="N223" i="6"/>
  <c r="A224" i="6"/>
  <c r="N224" i="6" a="1"/>
  <c r="N224" i="6"/>
  <c r="A225" i="6"/>
  <c r="N225" i="6" a="1"/>
  <c r="N225" i="6"/>
  <c r="A226" i="6"/>
  <c r="N226" i="6" a="1"/>
  <c r="N226" i="6"/>
  <c r="A227" i="6"/>
  <c r="N227" i="6" a="1"/>
  <c r="N227" i="6"/>
  <c r="A228" i="6"/>
  <c r="N228" i="6" a="1"/>
  <c r="N228" i="6"/>
  <c r="A229" i="6"/>
  <c r="N229" i="6" a="1"/>
  <c r="N229" i="6"/>
  <c r="A230" i="6"/>
  <c r="N230" i="6" a="1"/>
  <c r="N230" i="6"/>
  <c r="A231" i="6"/>
  <c r="N231" i="6" a="1"/>
  <c r="N231" i="6"/>
  <c r="A232" i="6"/>
  <c r="N232" i="6" a="1"/>
  <c r="N232" i="6"/>
  <c r="A233" i="6"/>
  <c r="N233" i="6" a="1"/>
  <c r="N233" i="6"/>
  <c r="A234" i="6"/>
  <c r="N234" i="6" a="1"/>
  <c r="N234" i="6"/>
  <c r="A235" i="6"/>
  <c r="N235" i="6" a="1"/>
  <c r="N235" i="6"/>
  <c r="A236" i="6"/>
  <c r="N236" i="6" a="1"/>
  <c r="N236" i="6"/>
  <c r="A237" i="6"/>
  <c r="N237" i="6" a="1"/>
  <c r="N237" i="6"/>
  <c r="A238" i="6"/>
  <c r="N238" i="6" a="1"/>
  <c r="N238" i="6"/>
  <c r="A239" i="6"/>
  <c r="N239" i="6" a="1"/>
  <c r="N239" i="6"/>
  <c r="A240" i="6"/>
  <c r="N240" i="6" a="1"/>
  <c r="N240" i="6"/>
  <c r="A241" i="6"/>
  <c r="N241" i="6" a="1"/>
  <c r="N241" i="6"/>
  <c r="A242" i="6"/>
  <c r="N242" i="6" a="1"/>
  <c r="N242" i="6"/>
  <c r="A243" i="6"/>
  <c r="N243" i="6" a="1"/>
  <c r="N243" i="6"/>
  <c r="A244" i="6"/>
  <c r="N244" i="6" a="1"/>
  <c r="N244" i="6"/>
  <c r="A245" i="6"/>
  <c r="N245" i="6" a="1"/>
  <c r="N245" i="6"/>
  <c r="A246" i="6"/>
  <c r="N246" i="6" a="1"/>
  <c r="N246" i="6"/>
  <c r="A247" i="6"/>
  <c r="N247" i="6" a="1"/>
  <c r="N247" i="6"/>
  <c r="A248" i="6"/>
  <c r="N248" i="6" a="1"/>
  <c r="N248" i="6"/>
  <c r="A249" i="6"/>
  <c r="N249" i="6" a="1"/>
  <c r="N249" i="6"/>
  <c r="A250" i="6"/>
  <c r="N250" i="6" a="1"/>
  <c r="N250" i="6"/>
  <c r="A251" i="6"/>
  <c r="N251" i="6" a="1"/>
  <c r="N251" i="6"/>
  <c r="A252" i="6"/>
  <c r="N252" i="6" a="1"/>
  <c r="N252" i="6"/>
  <c r="A253" i="6"/>
  <c r="N253" i="6" a="1"/>
  <c r="N253" i="6"/>
  <c r="A254" i="6"/>
  <c r="N254" i="6" a="1"/>
  <c r="N254" i="6"/>
  <c r="A255" i="6"/>
  <c r="N255" i="6" a="1"/>
  <c r="N255" i="6"/>
  <c r="A256" i="6"/>
  <c r="N256" i="6" a="1"/>
  <c r="N256" i="6"/>
  <c r="A257" i="6"/>
  <c r="N257" i="6" a="1"/>
  <c r="N257" i="6"/>
  <c r="A258" i="6"/>
  <c r="N258" i="6" a="1"/>
  <c r="N258" i="6"/>
  <c r="A259" i="6"/>
  <c r="N259" i="6" a="1"/>
  <c r="N259" i="6"/>
  <c r="A260" i="6"/>
  <c r="N260" i="6" a="1"/>
  <c r="N260" i="6"/>
  <c r="A261" i="6"/>
  <c r="N261" i="6" a="1"/>
  <c r="N261" i="6"/>
  <c r="A262" i="6"/>
  <c r="N262" i="6" a="1"/>
  <c r="N262" i="6"/>
  <c r="A263" i="6"/>
  <c r="N263" i="6" a="1"/>
  <c r="N263" i="6"/>
  <c r="A264" i="6"/>
  <c r="N264" i="6" a="1"/>
  <c r="N264" i="6"/>
  <c r="A265" i="6"/>
  <c r="N265" i="6" a="1"/>
  <c r="N265" i="6"/>
  <c r="A266" i="6"/>
  <c r="N266" i="6" a="1"/>
  <c r="N266" i="6"/>
  <c r="A267" i="6"/>
  <c r="N267" i="6" a="1"/>
  <c r="N267" i="6"/>
  <c r="A268" i="6"/>
  <c r="N268" i="6" a="1"/>
  <c r="N268" i="6"/>
  <c r="A269" i="6"/>
  <c r="N269" i="6" a="1"/>
  <c r="N269" i="6"/>
  <c r="A270" i="6"/>
  <c r="N270" i="6" a="1"/>
  <c r="N270" i="6"/>
  <c r="A271" i="6"/>
  <c r="N271" i="6" a="1"/>
  <c r="N271" i="6"/>
  <c r="A272" i="6"/>
  <c r="N272" i="6" a="1"/>
  <c r="N272" i="6"/>
  <c r="A273" i="6"/>
  <c r="N273" i="6" a="1"/>
  <c r="N273" i="6"/>
  <c r="A274" i="6"/>
  <c r="N274" i="6" a="1"/>
  <c r="N274" i="6"/>
  <c r="A275" i="6"/>
  <c r="N275" i="6" a="1"/>
  <c r="N275" i="6"/>
  <c r="A276" i="6"/>
  <c r="N276" i="6" a="1"/>
  <c r="N276" i="6"/>
  <c r="A277" i="6"/>
  <c r="N277" i="6" a="1"/>
  <c r="N277" i="6"/>
  <c r="A278" i="6"/>
  <c r="N278" i="6" a="1"/>
  <c r="N278" i="6"/>
  <c r="A279" i="6"/>
  <c r="N279" i="6" a="1"/>
  <c r="N279" i="6"/>
  <c r="A280" i="6"/>
  <c r="N280" i="6" a="1"/>
  <c r="N280" i="6"/>
  <c r="A281" i="6"/>
  <c r="N281" i="6" a="1"/>
  <c r="N281" i="6"/>
  <c r="A282" i="6"/>
  <c r="N282" i="6" a="1"/>
  <c r="N282" i="6"/>
  <c r="A283" i="6"/>
  <c r="N283" i="6" a="1"/>
  <c r="N283" i="6"/>
  <c r="A284" i="6"/>
  <c r="N284" i="6" a="1"/>
  <c r="N284" i="6"/>
  <c r="A285" i="6"/>
  <c r="N285" i="6" a="1"/>
  <c r="N285" i="6"/>
  <c r="A286" i="6"/>
  <c r="N286" i="6" a="1"/>
  <c r="N286" i="6"/>
  <c r="A287" i="6"/>
  <c r="N287" i="6" a="1"/>
  <c r="N287" i="6"/>
  <c r="A288" i="6"/>
  <c r="N288" i="6" a="1"/>
  <c r="N288" i="6"/>
  <c r="A289" i="6"/>
  <c r="N289" i="6" a="1"/>
  <c r="N289" i="6"/>
  <c r="A290" i="6"/>
  <c r="N290" i="6" a="1"/>
  <c r="N290" i="6"/>
  <c r="A291" i="6"/>
  <c r="N291" i="6" a="1"/>
  <c r="N291" i="6"/>
  <c r="A292" i="6"/>
  <c r="N292" i="6" a="1"/>
  <c r="N292" i="6"/>
  <c r="A293" i="6"/>
  <c r="N293" i="6" a="1"/>
  <c r="N293" i="6"/>
  <c r="A294" i="6"/>
  <c r="N294" i="6" a="1"/>
  <c r="N294" i="6"/>
  <c r="A295" i="6"/>
  <c r="N295" i="6" a="1"/>
  <c r="N295" i="6"/>
  <c r="A296" i="6"/>
  <c r="N296" i="6" a="1"/>
  <c r="N296" i="6"/>
  <c r="A297" i="6"/>
  <c r="N297" i="6" a="1"/>
  <c r="N297" i="6"/>
  <c r="A298" i="6"/>
  <c r="N298" i="6" a="1"/>
  <c r="N298" i="6"/>
  <c r="A299" i="6"/>
  <c r="N299" i="6" a="1"/>
  <c r="N299" i="6"/>
  <c r="A300" i="6"/>
  <c r="N300" i="6" a="1"/>
  <c r="N300" i="6"/>
  <c r="A301" i="6"/>
  <c r="N301" i="6" a="1"/>
  <c r="N301" i="6"/>
  <c r="A302" i="6"/>
  <c r="N302" i="6" a="1"/>
  <c r="N302" i="6"/>
  <c r="A303" i="6"/>
  <c r="N303" i="6" a="1"/>
  <c r="N303" i="6"/>
  <c r="A304" i="6"/>
  <c r="N304" i="6" a="1"/>
  <c r="N304" i="6"/>
  <c r="A305" i="6"/>
  <c r="N305" i="6" a="1"/>
  <c r="N305" i="6"/>
  <c r="A306" i="6"/>
  <c r="N306" i="6" a="1"/>
  <c r="N306" i="6"/>
  <c r="A307" i="6"/>
  <c r="N307" i="6" a="1"/>
  <c r="N307" i="6"/>
  <c r="A308" i="6"/>
  <c r="N308" i="6" a="1"/>
  <c r="N308" i="6"/>
  <c r="A309" i="6"/>
  <c r="N309" i="6" a="1"/>
  <c r="N309" i="6"/>
  <c r="A310" i="6"/>
  <c r="N310" i="6" a="1"/>
  <c r="N310" i="6"/>
  <c r="A311" i="6"/>
  <c r="N311" i="6" a="1"/>
  <c r="N311" i="6"/>
  <c r="A312" i="6"/>
  <c r="N312" i="6" a="1"/>
  <c r="N312" i="6"/>
  <c r="A313" i="6"/>
  <c r="N313" i="6" a="1"/>
  <c r="N313" i="6"/>
  <c r="A314" i="6"/>
  <c r="N314" i="6" a="1"/>
  <c r="N314" i="6"/>
  <c r="A315" i="6"/>
  <c r="N315" i="6" a="1"/>
  <c r="N315" i="6"/>
  <c r="A316" i="6"/>
  <c r="N316" i="6" a="1"/>
  <c r="N316" i="6"/>
  <c r="A317" i="6"/>
  <c r="N317" i="6" a="1"/>
  <c r="N317" i="6"/>
  <c r="A318" i="6"/>
  <c r="N318" i="6" a="1"/>
  <c r="N318" i="6"/>
  <c r="A319" i="6"/>
  <c r="N319" i="6" a="1"/>
  <c r="N319" i="6"/>
  <c r="A320" i="6"/>
  <c r="N320" i="6" a="1"/>
  <c r="N320" i="6"/>
  <c r="A321" i="6"/>
  <c r="N321" i="6" a="1"/>
  <c r="N321" i="6"/>
  <c r="A322" i="6"/>
  <c r="N322" i="6" a="1"/>
  <c r="N322" i="6"/>
  <c r="A323" i="6"/>
  <c r="N323" i="6" a="1"/>
  <c r="N323" i="6"/>
  <c r="A324" i="6"/>
  <c r="N324" i="6" a="1"/>
  <c r="N324" i="6"/>
  <c r="A325" i="6"/>
  <c r="N325" i="6" a="1"/>
  <c r="N325" i="6"/>
  <c r="A326" i="6"/>
  <c r="N326" i="6" a="1"/>
  <c r="N326" i="6"/>
  <c r="A327" i="6"/>
  <c r="N327" i="6" a="1"/>
  <c r="N327" i="6"/>
  <c r="A328" i="6"/>
  <c r="N328" i="6" a="1"/>
  <c r="N328" i="6"/>
  <c r="A329" i="6"/>
  <c r="N329" i="6" a="1"/>
  <c r="N329" i="6"/>
  <c r="A330" i="6"/>
  <c r="N330" i="6" a="1"/>
  <c r="N330" i="6"/>
  <c r="A331" i="6"/>
  <c r="N331" i="6" a="1"/>
  <c r="N331" i="6"/>
  <c r="A332" i="6"/>
  <c r="N332" i="6" a="1"/>
  <c r="N332" i="6"/>
  <c r="A333" i="6"/>
  <c r="N333" i="6" a="1"/>
  <c r="N333" i="6"/>
  <c r="A334" i="6"/>
  <c r="N334" i="6" a="1"/>
  <c r="N334" i="6"/>
  <c r="A335" i="6"/>
  <c r="N335" i="6" a="1"/>
  <c r="N335" i="6"/>
  <c r="A336" i="6"/>
  <c r="N336" i="6" a="1"/>
  <c r="N336" i="6"/>
  <c r="A337" i="6"/>
  <c r="N337" i="6" a="1"/>
  <c r="N337" i="6"/>
  <c r="A338" i="6"/>
  <c r="N338" i="6" a="1"/>
  <c r="N338" i="6"/>
  <c r="A339" i="6"/>
  <c r="N339" i="6" a="1"/>
  <c r="N339" i="6"/>
  <c r="A340" i="6"/>
  <c r="N340" i="6" a="1"/>
  <c r="N340" i="6"/>
  <c r="A341" i="6"/>
  <c r="N341" i="6" a="1"/>
  <c r="N341" i="6"/>
  <c r="A342" i="6"/>
  <c r="N342" i="6" a="1"/>
  <c r="N342" i="6"/>
  <c r="A343" i="6"/>
  <c r="N343" i="6" a="1"/>
  <c r="N343" i="6"/>
  <c r="A344" i="6"/>
  <c r="N344" i="6" a="1"/>
  <c r="N344" i="6"/>
  <c r="A345" i="6"/>
  <c r="N345" i="6" a="1"/>
  <c r="N345" i="6"/>
  <c r="A346" i="6"/>
  <c r="N346" i="6" a="1"/>
  <c r="N346" i="6"/>
  <c r="A347" i="6"/>
  <c r="N347" i="6" a="1"/>
  <c r="N347" i="6"/>
  <c r="A348" i="6"/>
  <c r="N348" i="6" a="1"/>
  <c r="N348" i="6"/>
  <c r="A349" i="6"/>
  <c r="N349" i="6" a="1"/>
  <c r="N349" i="6"/>
  <c r="A350" i="6"/>
  <c r="N350" i="6" a="1"/>
  <c r="N350" i="6"/>
  <c r="A351" i="6"/>
  <c r="N351" i="6" a="1"/>
  <c r="N351" i="6"/>
  <c r="A352" i="6"/>
  <c r="N352" i="6" a="1"/>
  <c r="N352" i="6"/>
  <c r="A353" i="6"/>
  <c r="N353" i="6" a="1"/>
  <c r="N353" i="6"/>
  <c r="A354" i="6"/>
  <c r="N354" i="6" a="1"/>
  <c r="N354" i="6"/>
  <c r="A355" i="6"/>
  <c r="N355" i="6" a="1"/>
  <c r="N355" i="6"/>
  <c r="A356" i="6"/>
  <c r="N356" i="6" a="1"/>
  <c r="N356" i="6"/>
  <c r="A357" i="6"/>
  <c r="N357" i="6" a="1"/>
  <c r="N357" i="6"/>
  <c r="A358" i="6"/>
  <c r="N358" i="6" a="1"/>
  <c r="N358" i="6"/>
  <c r="A359" i="6"/>
  <c r="N359" i="6" a="1"/>
  <c r="N359" i="6"/>
  <c r="A360" i="6"/>
  <c r="N360" i="6" a="1"/>
  <c r="N360" i="6"/>
  <c r="A361" i="6"/>
  <c r="N361" i="6" a="1"/>
  <c r="N361" i="6"/>
  <c r="F14" i="4" a="1"/>
  <c r="F14" i="4"/>
  <c r="G14" i="4"/>
  <c r="H14" i="4"/>
  <c r="I14" i="4"/>
  <c r="J14" i="4"/>
  <c r="K14" i="4"/>
  <c r="L14" i="4"/>
  <c r="M14" i="4"/>
  <c r="N14" i="4"/>
  <c r="O14" i="4"/>
  <c r="P14" i="4"/>
  <c r="Q14" i="4"/>
  <c r="F15" i="4" a="1"/>
  <c r="F15" i="4"/>
  <c r="G15" i="4"/>
  <c r="H15" i="4"/>
  <c r="I15" i="4"/>
  <c r="J15" i="4"/>
  <c r="K15" i="4"/>
  <c r="L15" i="4"/>
  <c r="M15" i="4"/>
  <c r="N15" i="4"/>
  <c r="O15" i="4"/>
  <c r="P15" i="4"/>
  <c r="Q15" i="4"/>
  <c r="F16" i="4" a="1"/>
  <c r="F16" i="4"/>
  <c r="G16" i="4"/>
  <c r="H16" i="4"/>
  <c r="I16" i="4"/>
  <c r="J16" i="4"/>
  <c r="K16" i="4"/>
  <c r="L16" i="4"/>
  <c r="M16" i="4"/>
  <c r="N16" i="4"/>
  <c r="O16" i="4"/>
  <c r="P16" i="4"/>
  <c r="Q16" i="4"/>
  <c r="C7" i="11"/>
  <c r="K10" i="8"/>
  <c r="F11" i="8"/>
  <c r="F10" i="8"/>
  <c r="B10" i="7"/>
  <c r="C10" i="7"/>
  <c r="D10" i="7"/>
  <c r="C11" i="7"/>
  <c r="B11" i="7"/>
  <c r="D11" i="7"/>
  <c r="E10" i="7"/>
  <c r="E11" i="7"/>
  <c r="B12" i="7"/>
  <c r="C12" i="7"/>
  <c r="D12" i="7"/>
  <c r="E12" i="7"/>
  <c r="B13" i="7"/>
  <c r="C13" i="7"/>
  <c r="D13" i="7"/>
  <c r="E13" i="7"/>
  <c r="B14" i="7"/>
  <c r="C14" i="7"/>
  <c r="D14" i="7"/>
  <c r="E14" i="7"/>
  <c r="B15" i="7"/>
  <c r="C15" i="7"/>
  <c r="D15" i="7"/>
  <c r="E15" i="7"/>
  <c r="B16" i="7"/>
  <c r="C16" i="7"/>
  <c r="D16" i="7"/>
  <c r="E16" i="7"/>
  <c r="B17" i="7"/>
  <c r="C17" i="7"/>
  <c r="D17" i="7"/>
  <c r="E17" i="7"/>
  <c r="B18" i="7"/>
  <c r="C18" i="7"/>
  <c r="D18" i="7"/>
  <c r="E18" i="7"/>
  <c r="B19" i="7"/>
  <c r="C19" i="7"/>
  <c r="D19" i="7"/>
  <c r="E19" i="7"/>
  <c r="B20" i="7"/>
  <c r="C20" i="7"/>
  <c r="D20" i="7"/>
  <c r="E20" i="7"/>
  <c r="B21" i="7"/>
  <c r="C21" i="7"/>
  <c r="D21" i="7"/>
  <c r="E21" i="7"/>
  <c r="B22" i="7"/>
  <c r="C22" i="7"/>
  <c r="D22" i="7"/>
  <c r="E22" i="7"/>
  <c r="B23" i="7"/>
  <c r="C23" i="7"/>
  <c r="D23" i="7"/>
  <c r="E23" i="7"/>
  <c r="B24" i="7"/>
  <c r="C24" i="7"/>
  <c r="D24" i="7"/>
  <c r="E24" i="7"/>
  <c r="B25" i="7"/>
  <c r="C25" i="7"/>
  <c r="D25" i="7"/>
  <c r="E25" i="7"/>
  <c r="B26" i="7"/>
  <c r="C26" i="7"/>
  <c r="D26" i="7"/>
  <c r="E26" i="7"/>
  <c r="B27" i="7"/>
  <c r="C27" i="7"/>
  <c r="D27" i="7"/>
  <c r="E27" i="7"/>
  <c r="B28" i="7"/>
  <c r="C28" i="7"/>
  <c r="D28" i="7"/>
  <c r="E28" i="7"/>
  <c r="B29" i="7"/>
  <c r="C29" i="7"/>
  <c r="D29" i="7"/>
  <c r="E29" i="7"/>
  <c r="B30" i="7"/>
  <c r="C30" i="7"/>
  <c r="D30" i="7"/>
  <c r="E30" i="7"/>
  <c r="B31" i="7"/>
  <c r="C31" i="7"/>
  <c r="D31" i="7"/>
  <c r="E31" i="7"/>
  <c r="B32" i="7"/>
  <c r="C32" i="7"/>
  <c r="D32" i="7"/>
  <c r="E32" i="7"/>
  <c r="B33" i="7"/>
  <c r="C33" i="7"/>
  <c r="D33" i="7"/>
  <c r="E33" i="7"/>
  <c r="B34" i="7"/>
  <c r="C34" i="7"/>
  <c r="D34" i="7"/>
  <c r="E34" i="7"/>
  <c r="B35" i="7"/>
  <c r="C35" i="7"/>
  <c r="D35" i="7"/>
  <c r="E35" i="7"/>
  <c r="B36" i="7"/>
  <c r="C36" i="7"/>
  <c r="D36" i="7"/>
  <c r="E36" i="7"/>
  <c r="B37" i="7"/>
  <c r="C37" i="7"/>
  <c r="D37" i="7"/>
  <c r="E37" i="7"/>
  <c r="B38" i="7"/>
  <c r="C38" i="7"/>
  <c r="D38" i="7"/>
  <c r="E38" i="7"/>
  <c r="B39" i="7"/>
  <c r="C39" i="7"/>
  <c r="D39" i="7"/>
  <c r="E39" i="7"/>
  <c r="B40" i="7"/>
  <c r="C40" i="7"/>
  <c r="D40" i="7"/>
  <c r="E40" i="7"/>
  <c r="B41" i="7"/>
  <c r="C41" i="7"/>
  <c r="D41" i="7"/>
  <c r="E41" i="7"/>
  <c r="B42" i="7"/>
  <c r="C42" i="7"/>
  <c r="D42" i="7"/>
  <c r="E42" i="7"/>
  <c r="B43" i="7"/>
  <c r="C43" i="7"/>
  <c r="D43" i="7"/>
  <c r="E43" i="7"/>
  <c r="B44" i="7"/>
  <c r="C44" i="7"/>
  <c r="D44" i="7"/>
  <c r="E44" i="7"/>
  <c r="B45" i="7"/>
  <c r="C45" i="7"/>
  <c r="D45" i="7"/>
  <c r="E45" i="7"/>
  <c r="B46" i="7"/>
  <c r="C46" i="7"/>
  <c r="D46" i="7"/>
  <c r="E46" i="7"/>
  <c r="B47" i="7"/>
  <c r="C47" i="7"/>
  <c r="D47" i="7"/>
  <c r="E47" i="7"/>
  <c r="B48" i="7"/>
  <c r="C48" i="7"/>
  <c r="D48" i="7"/>
  <c r="E48" i="7"/>
  <c r="B49" i="7"/>
  <c r="C49" i="7"/>
  <c r="D49" i="7"/>
  <c r="E49" i="7"/>
  <c r="B50" i="7"/>
  <c r="C50" i="7"/>
  <c r="D50" i="7"/>
  <c r="E50" i="7"/>
  <c r="B51" i="7"/>
  <c r="C51" i="7"/>
  <c r="D51" i="7"/>
  <c r="E51" i="7"/>
  <c r="B52" i="7"/>
  <c r="C52" i="7"/>
  <c r="D52" i="7"/>
  <c r="E52" i="7"/>
  <c r="B53" i="7"/>
  <c r="C53" i="7"/>
  <c r="D53" i="7"/>
  <c r="E53" i="7"/>
  <c r="B54" i="7"/>
  <c r="C54" i="7"/>
  <c r="D54" i="7"/>
  <c r="E54" i="7"/>
  <c r="B55" i="7"/>
  <c r="C55" i="7"/>
  <c r="D55" i="7"/>
  <c r="E55" i="7"/>
  <c r="B56" i="7"/>
  <c r="C56" i="7"/>
  <c r="D56" i="7"/>
  <c r="E56" i="7"/>
  <c r="B57" i="7"/>
  <c r="C57" i="7"/>
  <c r="D57" i="7"/>
  <c r="E57" i="7"/>
  <c r="B58" i="7"/>
  <c r="C58" i="7"/>
  <c r="D58" i="7"/>
  <c r="E58" i="7"/>
  <c r="B59" i="7"/>
  <c r="C59" i="7"/>
  <c r="D59" i="7"/>
  <c r="E59" i="7"/>
  <c r="B60" i="7"/>
  <c r="C60" i="7"/>
  <c r="D60" i="7"/>
  <c r="E60" i="7"/>
  <c r="B61" i="7"/>
  <c r="C61" i="7"/>
  <c r="D61" i="7"/>
  <c r="E61" i="7"/>
  <c r="B62" i="7"/>
  <c r="C62" i="7"/>
  <c r="D62" i="7"/>
  <c r="E62" i="7"/>
  <c r="B63" i="7"/>
  <c r="C63" i="7"/>
  <c r="D63" i="7"/>
  <c r="E63" i="7"/>
  <c r="B64" i="7"/>
  <c r="C64" i="7"/>
  <c r="D64" i="7"/>
  <c r="E64" i="7"/>
  <c r="B65" i="7"/>
  <c r="C65" i="7"/>
  <c r="D65" i="7"/>
  <c r="E65" i="7"/>
  <c r="B66" i="7"/>
  <c r="C66" i="7"/>
  <c r="D66" i="7"/>
  <c r="E66" i="7"/>
  <c r="B67" i="7"/>
  <c r="C67" i="7"/>
  <c r="D67" i="7"/>
  <c r="E67" i="7"/>
  <c r="B68" i="7"/>
  <c r="C68" i="7"/>
  <c r="D68" i="7"/>
  <c r="E68" i="7"/>
  <c r="B69" i="7"/>
  <c r="C69" i="7"/>
  <c r="D69" i="7"/>
  <c r="E69" i="7"/>
  <c r="B70" i="7"/>
  <c r="C70" i="7"/>
  <c r="D70" i="7"/>
  <c r="E70" i="7"/>
  <c r="B71" i="7"/>
  <c r="C71" i="7"/>
  <c r="D71" i="7"/>
  <c r="E71" i="7"/>
  <c r="B72" i="7"/>
  <c r="C72" i="7"/>
  <c r="D72" i="7"/>
  <c r="E72" i="7"/>
  <c r="B73" i="7"/>
  <c r="C73" i="7"/>
  <c r="D73" i="7"/>
  <c r="E73" i="7"/>
  <c r="B74" i="7"/>
  <c r="C74" i="7"/>
  <c r="D74" i="7"/>
  <c r="E74" i="7"/>
  <c r="B75" i="7"/>
  <c r="C75" i="7"/>
  <c r="D75" i="7"/>
  <c r="E75" i="7"/>
  <c r="B76" i="7"/>
  <c r="C76" i="7"/>
  <c r="D76" i="7"/>
  <c r="E76" i="7"/>
  <c r="B77" i="7"/>
  <c r="C77" i="7"/>
  <c r="D77" i="7"/>
  <c r="E77" i="7"/>
  <c r="B78" i="7"/>
  <c r="C78" i="7"/>
  <c r="D78" i="7"/>
  <c r="E78" i="7"/>
  <c r="B79" i="7"/>
  <c r="C79" i="7"/>
  <c r="D79" i="7"/>
  <c r="E79" i="7"/>
  <c r="B80" i="7"/>
  <c r="C80" i="7"/>
  <c r="D80" i="7"/>
  <c r="E80" i="7"/>
  <c r="B81" i="7"/>
  <c r="C81" i="7"/>
  <c r="D81" i="7"/>
  <c r="E81" i="7"/>
  <c r="B82" i="7"/>
  <c r="C82" i="7"/>
  <c r="D82" i="7"/>
  <c r="E82" i="7"/>
  <c r="B83" i="7"/>
  <c r="C83" i="7"/>
  <c r="D83" i="7"/>
  <c r="E83" i="7"/>
  <c r="B84" i="7"/>
  <c r="C84" i="7"/>
  <c r="D84" i="7"/>
  <c r="E84" i="7"/>
  <c r="B85" i="7"/>
  <c r="C85" i="7"/>
  <c r="D85" i="7"/>
  <c r="E85" i="7"/>
  <c r="B86" i="7"/>
  <c r="C86" i="7"/>
  <c r="D86" i="7"/>
  <c r="E86" i="7"/>
  <c r="B87" i="7"/>
  <c r="C87" i="7"/>
  <c r="D87" i="7"/>
  <c r="E87" i="7"/>
  <c r="B88" i="7"/>
  <c r="C88" i="7"/>
  <c r="D88" i="7"/>
  <c r="E88" i="7"/>
  <c r="B89" i="7"/>
  <c r="C89" i="7"/>
  <c r="D89" i="7"/>
  <c r="E89" i="7"/>
  <c r="B90" i="7"/>
  <c r="C90" i="7"/>
  <c r="D90" i="7"/>
  <c r="E90" i="7"/>
  <c r="B91" i="7"/>
  <c r="C91" i="7"/>
  <c r="D91" i="7"/>
  <c r="E91" i="7"/>
  <c r="B92" i="7"/>
  <c r="C92" i="7"/>
  <c r="D92" i="7"/>
  <c r="E92" i="7"/>
  <c r="B93" i="7"/>
  <c r="C93" i="7"/>
  <c r="D93" i="7"/>
  <c r="E93" i="7"/>
  <c r="B94" i="7"/>
  <c r="C94" i="7"/>
  <c r="D94" i="7"/>
  <c r="E94" i="7"/>
  <c r="B95" i="7"/>
  <c r="C95" i="7"/>
  <c r="D95" i="7"/>
  <c r="E95" i="7"/>
  <c r="B96" i="7"/>
  <c r="C96" i="7"/>
  <c r="D96" i="7"/>
  <c r="E96" i="7"/>
  <c r="B97" i="7"/>
  <c r="C97" i="7"/>
  <c r="D97" i="7"/>
  <c r="E97" i="7"/>
  <c r="B98" i="7"/>
  <c r="C98" i="7"/>
  <c r="D98" i="7"/>
  <c r="E98" i="7"/>
  <c r="B99" i="7"/>
  <c r="C99" i="7"/>
  <c r="D99" i="7"/>
  <c r="E99" i="7"/>
  <c r="B100" i="7"/>
  <c r="C100" i="7"/>
  <c r="D100" i="7"/>
  <c r="E100" i="7"/>
  <c r="B101" i="7"/>
  <c r="C101" i="7"/>
  <c r="D101" i="7"/>
  <c r="E101" i="7"/>
  <c r="B102" i="7"/>
  <c r="C102" i="7"/>
  <c r="D102" i="7"/>
  <c r="E102" i="7"/>
  <c r="B103" i="7"/>
  <c r="C103" i="7"/>
  <c r="D103" i="7"/>
  <c r="E103" i="7"/>
  <c r="B104" i="7"/>
  <c r="C104" i="7"/>
  <c r="D104" i="7"/>
  <c r="E104" i="7"/>
  <c r="B105" i="7"/>
  <c r="C105" i="7"/>
  <c r="D105" i="7"/>
  <c r="E105" i="7"/>
  <c r="B106" i="7"/>
  <c r="C106" i="7"/>
  <c r="D106" i="7"/>
  <c r="E106" i="7"/>
  <c r="B107" i="7"/>
  <c r="C107" i="7"/>
  <c r="D107" i="7"/>
  <c r="E107" i="7"/>
  <c r="B108" i="7"/>
  <c r="C108" i="7"/>
  <c r="D108" i="7"/>
  <c r="E108" i="7"/>
  <c r="B109" i="7"/>
  <c r="C109" i="7"/>
  <c r="D109" i="7"/>
  <c r="E109" i="7"/>
  <c r="B110" i="7"/>
  <c r="C110" i="7"/>
  <c r="D110" i="7"/>
  <c r="E110" i="7"/>
  <c r="B111" i="7"/>
  <c r="C111" i="7"/>
  <c r="D111" i="7"/>
  <c r="E111" i="7"/>
  <c r="B112" i="7"/>
  <c r="C112" i="7"/>
  <c r="D112" i="7"/>
  <c r="E112" i="7"/>
  <c r="B113" i="7"/>
  <c r="C113" i="7"/>
  <c r="D113" i="7"/>
  <c r="E113" i="7"/>
  <c r="B114" i="7"/>
  <c r="C114" i="7"/>
  <c r="D114" i="7"/>
  <c r="E114" i="7"/>
  <c r="B115" i="7"/>
  <c r="C115" i="7"/>
  <c r="D115" i="7"/>
  <c r="E115" i="7"/>
  <c r="B116" i="7"/>
  <c r="C116" i="7"/>
  <c r="D116" i="7"/>
  <c r="E116" i="7"/>
  <c r="B117" i="7"/>
  <c r="C117" i="7"/>
  <c r="D117" i="7"/>
  <c r="E117" i="7"/>
  <c r="B118" i="7"/>
  <c r="C118" i="7"/>
  <c r="D118" i="7"/>
  <c r="E118" i="7"/>
  <c r="B119" i="7"/>
  <c r="C119" i="7"/>
  <c r="D119" i="7"/>
  <c r="E119" i="7"/>
  <c r="B120" i="7"/>
  <c r="C120" i="7"/>
  <c r="D120" i="7"/>
  <c r="E120" i="7"/>
  <c r="B121" i="7"/>
  <c r="C121" i="7"/>
  <c r="D121" i="7"/>
  <c r="E121" i="7"/>
  <c r="B122" i="7"/>
  <c r="C122" i="7"/>
  <c r="D122" i="7"/>
  <c r="E122" i="7"/>
  <c r="B123" i="7"/>
  <c r="C123" i="7"/>
  <c r="D123" i="7"/>
  <c r="E123" i="7"/>
  <c r="B124" i="7"/>
  <c r="C124" i="7"/>
  <c r="D124" i="7"/>
  <c r="E124" i="7"/>
  <c r="B125" i="7"/>
  <c r="C125" i="7"/>
  <c r="D125" i="7"/>
  <c r="E125" i="7"/>
  <c r="B126" i="7"/>
  <c r="C126" i="7"/>
  <c r="D126" i="7"/>
  <c r="E126" i="7"/>
  <c r="B127" i="7"/>
  <c r="C127" i="7"/>
  <c r="D127" i="7"/>
  <c r="E127" i="7"/>
  <c r="B128" i="7"/>
  <c r="C128" i="7"/>
  <c r="D128" i="7"/>
  <c r="E128" i="7"/>
  <c r="B129" i="7"/>
  <c r="C129" i="7"/>
  <c r="D129" i="7"/>
  <c r="E129" i="7"/>
  <c r="J3" i="7"/>
  <c r="K2" i="7" l="1"/>
  <c r="K3" i="7" s="1"/>
  <c r="K4" i="7" s="1"/>
  <c r="J2" i="7"/>
  <c r="C17" i="11"/>
  <c r="C18" i="11" l="1"/>
  <c r="G7" i="2" l="1" a="1"/>
  <c r="G7" i="2" s="1"/>
  <c r="J7" i="2" a="1"/>
  <c r="J7" i="2" s="1"/>
  <c r="G9" i="2" a="1"/>
  <c r="G9" i="2" s="1"/>
  <c r="M24" i="2" l="1" a="1"/>
  <c r="M24" i="2" s="1"/>
  <c r="M25" i="2" a="1"/>
  <c r="M25" i="2" s="1"/>
  <c r="M26" i="2" a="1"/>
  <c r="M26" i="2" s="1"/>
  <c r="M27" i="2" a="1"/>
  <c r="M27" i="2" s="1"/>
  <c r="P22" i="2" a="1"/>
  <c r="P22" i="2" s="1"/>
  <c r="M22" i="2" a="1"/>
  <c r="M22" i="2" s="1"/>
  <c r="AA24" i="2" a="1"/>
  <c r="AA24" i="2" s="1"/>
  <c r="AA25" i="2" a="1"/>
  <c r="AA25" i="2" s="1"/>
  <c r="AA26" i="2" a="1"/>
  <c r="AA26" i="2" s="1"/>
  <c r="AA27" i="2" a="1"/>
  <c r="AA27" i="2" s="1"/>
  <c r="AA22" i="2" a="1"/>
  <c r="AA22" i="2" s="1"/>
  <c r="V9" i="2" a="1"/>
  <c r="V9" i="2" s="1"/>
  <c r="V7" i="2" a="1"/>
  <c r="V7" i="2" s="1"/>
  <c r="C7" i="4" l="1"/>
  <c r="I7" i="7" l="1"/>
  <c r="C1" i="6" l="1" a="1"/>
  <c r="C1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SG - EBL</author>
    <author>AMASCIA</author>
  </authors>
  <commentList>
    <comment ref="C6" authorId="0" shapeId="0" xr:uid="{5AC1226D-ACD6-41FD-B65F-A74478D89A45}">
      <text>
        <r>
          <rPr>
            <b/>
            <sz val="8"/>
            <color indexed="81"/>
            <rFont val="Tahoma"/>
            <family val="2"/>
          </rPr>
          <t>SG:</t>
        </r>
        <r>
          <rPr>
            <sz val="8"/>
            <color indexed="81"/>
            <rFont val="Tahoma"/>
            <family val="2"/>
          </rPr>
          <t xml:space="preserve">
True for quarterly IMM date (20 March, June, Sept and Dec)
False for S/A (20 June or 20 dec)</t>
        </r>
      </text>
    </comment>
    <comment ref="B10" authorId="1" shapeId="0" xr:uid="{434CF6E8-9DBB-4271-8C6C-AC8F1213CC73}">
      <text>
        <r>
          <rPr>
            <b/>
            <sz val="8"/>
            <color indexed="81"/>
            <rFont val="Tahoma"/>
            <family val="2"/>
          </rPr>
          <t xml:space="preserve">Not used in functions at all. </t>
        </r>
      </text>
    </comment>
    <comment ref="B11" authorId="1" shapeId="0" xr:uid="{A77A6EAE-3B6D-463F-A97C-295298684C53}">
      <text>
        <r>
          <rPr>
            <b/>
            <sz val="8"/>
            <color indexed="81"/>
            <rFont val="Tahoma"/>
            <family val="2"/>
          </rPr>
          <t xml:space="preserve">Not used in functions at all.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  <author>akhedher070405</author>
    <author>SG - Emmanuel</author>
  </authors>
  <commentList>
    <comment ref="C11" authorId="0" shapeId="0" xr:uid="{3066F1D6-7049-4551-AAFA-1D2CDF383C37}">
      <text>
        <r>
          <rPr>
            <b/>
            <sz val="8"/>
            <color indexed="81"/>
            <rFont val="Tahoma"/>
            <family val="2"/>
          </rPr>
          <t>if empty, then assumed ATM</t>
        </r>
      </text>
    </comment>
    <comment ref="C12" authorId="0" shapeId="0" xr:uid="{FD82A714-A8AF-4F35-825C-7F9546EBAB6F}">
      <text>
        <r>
          <rPr>
            <b/>
            <sz val="8"/>
            <color indexed="81"/>
            <rFont val="Tahoma"/>
            <family val="2"/>
          </rPr>
          <t>if empty, then assumed CDS impied recovery rate</t>
        </r>
      </text>
    </comment>
    <comment ref="C14" authorId="1" shapeId="0" xr:uid="{6F924B12-1FA3-43F2-8860-320D67C8E39A}">
      <text>
        <r>
          <rPr>
            <b/>
            <sz val="8"/>
            <color indexed="81"/>
            <rFont val="Tahoma"/>
            <family val="2"/>
          </rPr>
          <t>SG:
Currency of the CDS being priced.
If left blank, CDS will have the same currency as the Issuer</t>
        </r>
      </text>
    </comment>
    <comment ref="C27" authorId="0" shapeId="0" xr:uid="{2A5F2622-E357-4D11-B34F-2A612B0B498F}">
      <text>
        <r>
          <rPr>
            <b/>
            <sz val="8"/>
            <color indexed="81"/>
            <rFont val="Tahoma"/>
            <family val="2"/>
          </rPr>
          <t>if empty, then assumed ATM</t>
        </r>
      </text>
    </comment>
    <comment ref="B31" authorId="2" shapeId="0" xr:uid="{EB429E17-F46E-4F88-ABA3-50B36993D00C}">
      <text>
        <r>
          <rPr>
            <b/>
            <sz val="8"/>
            <color indexed="81"/>
            <rFont val="Tahoma"/>
            <family val="2"/>
          </rPr>
          <t>Optional: 1m or 3m
"1m" requires more computation but give more precise result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  <author>TLAUNAY</author>
    <author>SG - Emmanuel</author>
    <author>E&amp;P</author>
  </authors>
  <commentList>
    <comment ref="C12" authorId="0" shapeId="0" xr:uid="{D6B0B39E-5C80-47AE-B9C2-C00AE840E81C}">
      <text>
        <r>
          <rPr>
            <b/>
            <sz val="8"/>
            <color indexed="81"/>
            <rFont val="Tahoma"/>
            <family val="2"/>
          </rPr>
          <t>if empty, then ATM</t>
        </r>
      </text>
    </comment>
    <comment ref="B19" authorId="1" shapeId="0" xr:uid="{96C96C38-78B1-4535-A641-258CF5911870}">
      <text>
        <r>
          <rPr>
            <b/>
            <sz val="8"/>
            <color indexed="81"/>
            <rFont val="Tahoma"/>
            <family val="2"/>
          </rPr>
          <t xml:space="preserve">Attachment Point, i.e. subordination amount.
In amount of currency.
Not in % of portfolio.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20" authorId="1" shapeId="0" xr:uid="{8859BCCD-0458-4717-9D35-CA1234DFB44B}">
      <text>
        <r>
          <rPr>
            <b/>
            <sz val="8"/>
            <color indexed="81"/>
            <rFont val="Tahoma"/>
            <family val="2"/>
          </rPr>
          <t>Detachment Point</t>
        </r>
        <r>
          <rPr>
            <sz val="8"/>
            <color indexed="81"/>
            <rFont val="Tahoma"/>
            <family val="2"/>
          </rPr>
          <t xml:space="preserve">
In amount of currency.
Not in % of the portfolio notional amount.</t>
        </r>
      </text>
    </comment>
    <comment ref="C29" authorId="0" shapeId="0" xr:uid="{ADD8B58B-38CF-4D7F-BEE0-D6DCB09717AC}">
      <text>
        <r>
          <rPr>
            <b/>
            <sz val="8"/>
            <color indexed="81"/>
            <rFont val="Tahoma"/>
            <family val="2"/>
          </rPr>
          <t>if empty, then ATM</t>
        </r>
      </text>
    </comment>
    <comment ref="B33" authorId="2" shapeId="0" xr:uid="{7695B3EB-C9B3-4AB5-A1B9-3986D9DBF7C5}">
      <text>
        <r>
          <rPr>
            <b/>
            <sz val="8"/>
            <color indexed="81"/>
            <rFont val="Tahoma"/>
            <family val="2"/>
          </rPr>
          <t>Optional: 1m or 3m
"1m" requires more computation but give more precise result</t>
        </r>
      </text>
    </comment>
    <comment ref="B36" authorId="3" shapeId="0" xr:uid="{C19FC2BE-C06E-41F8-8D01-739C14CC8DA4}">
      <text>
        <r>
          <rPr>
            <b/>
            <sz val="8"/>
            <color indexed="81"/>
            <rFont val="Tahoma"/>
            <family val="2"/>
          </rPr>
          <t>Optional - Discretization of the loss amounts</t>
        </r>
      </text>
    </comment>
    <comment ref="E38" authorId="0" shapeId="0" xr:uid="{A76D7334-D41E-4F9C-956E-79AC85DEC06F}">
      <text>
        <r>
          <rPr>
            <b/>
            <sz val="8"/>
            <color indexed="81"/>
            <rFont val="Tahoma"/>
            <family val="2"/>
          </rPr>
          <t>Beta Addon of each issuer with respect to the systemic factor, to be added to the Base beta for low and high strikes.</t>
        </r>
      </text>
    </comment>
    <comment ref="F38" authorId="3" shapeId="0" xr:uid="{4F7E3EE9-087A-4C57-B45B-0C5F82CF1D08}">
      <text>
        <r>
          <rPr>
            <b/>
            <sz val="8"/>
            <color indexed="81"/>
            <rFont val="Tahoma"/>
            <family val="2"/>
          </rPr>
          <t>Optional. Recovery Rate upon default or, is left blank, market recovery rate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<sst xmlns="http://schemas.openxmlformats.org/spreadsheetml/2006/main" count="2088" uniqueCount="478">
  <si>
    <t>CAC40</t>
  </si>
  <si>
    <t>FTSE</t>
  </si>
  <si>
    <t>SP500</t>
  </si>
  <si>
    <t>sigma</t>
  </si>
  <si>
    <t>delta</t>
  </si>
  <si>
    <t>gamma</t>
  </si>
  <si>
    <t>theta</t>
  </si>
  <si>
    <t>Call</t>
  </si>
  <si>
    <t>rate</t>
  </si>
  <si>
    <t>strike</t>
  </si>
  <si>
    <t>maturity</t>
  </si>
  <si>
    <t>spot</t>
  </si>
  <si>
    <t>dividend ?</t>
  </si>
  <si>
    <t>underlying</t>
  </si>
  <si>
    <t>option flag</t>
  </si>
  <si>
    <t>Monte Carlo</t>
  </si>
  <si>
    <t>call</t>
  </si>
  <si>
    <t>require</t>
  </si>
  <si>
    <t>optional</t>
  </si>
  <si>
    <t>result</t>
  </si>
  <si>
    <t>put</t>
  </si>
  <si>
    <t>BS Parameters</t>
  </si>
  <si>
    <t>MC Outputs</t>
  </si>
  <si>
    <t>BS Outputs</t>
  </si>
  <si>
    <t>option price</t>
  </si>
  <si>
    <t>portofolio price</t>
  </si>
  <si>
    <t>vega</t>
  </si>
  <si>
    <t>option position</t>
  </si>
  <si>
    <t>short</t>
  </si>
  <si>
    <t>long</t>
  </si>
  <si>
    <t>Put</t>
  </si>
  <si>
    <t>Short</t>
  </si>
  <si>
    <t>Long</t>
  </si>
  <si>
    <t>Option Flag</t>
  </si>
  <si>
    <t>Underlying</t>
  </si>
  <si>
    <t xml:space="preserve">option position </t>
  </si>
  <si>
    <t>Black Scholes BS</t>
  </si>
  <si>
    <t>Portefeuille Option BS</t>
  </si>
  <si>
    <t>Portefeuille Option</t>
  </si>
  <si>
    <t>BS MD Parameters</t>
  </si>
  <si>
    <t>BS MD Outputs</t>
  </si>
  <si>
    <t>Actual/365</t>
  </si>
  <si>
    <t>European 30/360</t>
  </si>
  <si>
    <t>Actual/360</t>
  </si>
  <si>
    <t>Cell Validation List</t>
  </si>
  <si>
    <t>US (NASD) 30/360</t>
  </si>
  <si>
    <t>Actual/Actual</t>
  </si>
  <si>
    <t>Parameter Date</t>
  </si>
  <si>
    <t>Swap Rates</t>
  </si>
  <si>
    <t>Currency Name</t>
  </si>
  <si>
    <t>Swap Basis</t>
  </si>
  <si>
    <t>FX Spot vs EUR</t>
  </si>
  <si>
    <t>Swap Period (months)</t>
  </si>
  <si>
    <t>1Y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</si>
  <si>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</si>
  <si>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</si>
  <si>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</si>
  <si>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</si>
  <si>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</si>
  <si>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</si>
  <si>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</si>
  <si>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</si>
  <si>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</si>
  <si>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15Y</t>
  </si>
  <si>
    <t>20Y</t>
  </si>
  <si>
    <t>JPY</t>
  </si>
  <si>
    <t>EUR</t>
  </si>
  <si>
    <t>USD</t>
  </si>
  <si>
    <t>Stripped Zero Coupon</t>
  </si>
  <si>
    <t>-</t>
  </si>
  <si>
    <t>CDS Date Convention</t>
  </si>
  <si>
    <t>CDS Ref. Maturity Date</t>
  </si>
  <si>
    <t>Enable Calculation</t>
  </si>
  <si>
    <t>Calibration Alert mode enabled ?</t>
  </si>
  <si>
    <t>Default Intensity Step</t>
  </si>
  <si>
    <t xml:space="preserve"> </t>
  </si>
  <si>
    <t>Market Spread Curve</t>
  </si>
  <si>
    <t>Default Probabilities</t>
  </si>
  <si>
    <t>Default Probabilities with Shocked Curve</t>
  </si>
  <si>
    <t>Issuer</t>
  </si>
  <si>
    <t>Issuer Name</t>
  </si>
  <si>
    <t>Market</t>
  </si>
  <si>
    <t>Currency</t>
  </si>
  <si>
    <t>3M</t>
  </si>
  <si>
    <t>6M</t>
  </si>
  <si>
    <t>Recovery</t>
  </si>
  <si>
    <t>ABNAMRO_MMR.EUR.SU</t>
  </si>
  <si>
    <t/>
  </si>
  <si>
    <t>Accor_MMR.EUR.SU</t>
  </si>
  <si>
    <t>Adecco_MMR.EUR.SU</t>
  </si>
  <si>
    <t>Aegon_MMR.EUR.SU</t>
  </si>
  <si>
    <t>quantity</t>
  </si>
  <si>
    <t>Black Scholes MD</t>
  </si>
  <si>
    <t>AkzoNobel_MMR.EUR.SU</t>
  </si>
  <si>
    <t>Allianz_MMR.EUR.SU</t>
  </si>
  <si>
    <t>Altadis_MMR.EUR.SU</t>
  </si>
  <si>
    <t>ArcelorFinanceSca_MMR.EUR.SU</t>
  </si>
  <si>
    <t>Auchan_MMR.EUR.SU</t>
  </si>
  <si>
    <t>Aviva_MMR.EUR.SU</t>
  </si>
  <si>
    <t>AXA_MMR.EUR.SU</t>
  </si>
  <si>
    <t>BancoEspiritoSanto_MMR.EUR.SU</t>
  </si>
  <si>
    <t>Barclays_MMR.EUR.SU</t>
  </si>
  <si>
    <t>BASF_MMR.EUR.SU</t>
  </si>
  <si>
    <t>BAT_MMR.EUR.SU</t>
  </si>
  <si>
    <t>Bayer_MMR.EUR.SU</t>
  </si>
  <si>
    <t>BBVA_MMR.EUR.SU</t>
  </si>
  <si>
    <t>BertelsmannAG_MMR.EUR.SU</t>
  </si>
  <si>
    <t>BMW_MMR.EUR.SU</t>
  </si>
  <si>
    <t>BNPParibas_MMR.EUR.SU</t>
  </si>
  <si>
    <t>BritishTelecom_MMR.EUR.SU</t>
  </si>
  <si>
    <t>BSCH_MMR.EUR.SU</t>
  </si>
  <si>
    <t>CadburySchweppes_MMR.EUR.SU</t>
  </si>
  <si>
    <t>Capitalia_MMR.EUR.SU</t>
  </si>
  <si>
    <t>Carrefour_MMR.EUR.SU</t>
  </si>
  <si>
    <t>CasinoGuichard_MMR.EUR.SU</t>
  </si>
  <si>
    <t>Centrica_MMR.EUR.SU</t>
  </si>
  <si>
    <t>Cibasc_MMR.EUR.SU</t>
  </si>
  <si>
    <t>Commerzbank_MMR.EUR.SU</t>
  </si>
  <si>
    <t>Compass_MMR.EUR.SU</t>
  </si>
  <si>
    <t>Continental_MMR.EUR.SU</t>
  </si>
  <si>
    <t>CreditAgricole_MMR.EUR.SU</t>
  </si>
  <si>
    <t>CreditSuisseGroup_MMR.EUR.SU</t>
  </si>
  <si>
    <t>DaimlerChrysler_MMR.EUR.SU</t>
  </si>
  <si>
    <t>Danone_MMR.EUR.SU</t>
  </si>
  <si>
    <t>DeutscheBank_MMR.EUR.SU</t>
  </si>
  <si>
    <t>DeutschePostAG_MMR.EUR.SU</t>
  </si>
  <si>
    <t>DeutscheTelekom_MMR.EUR.SU</t>
  </si>
  <si>
    <t>Diageo_MMR.EUR.SU</t>
  </si>
  <si>
    <t>DixonsGroupPlc_MMR.EUR.SU</t>
  </si>
  <si>
    <t>DSM_MMR.EUR.SU</t>
  </si>
  <si>
    <t>EADS_MMR.EUR.SU</t>
  </si>
  <si>
    <t>EDF_MMR.EUR.SU</t>
  </si>
  <si>
    <t>Edison_MMR.EUR.SU</t>
  </si>
  <si>
    <t>ElectricitedePortugal_MMR.EUR.SU</t>
  </si>
  <si>
    <t>Electrolux_MMR.EUR.SU</t>
  </si>
  <si>
    <t>Endesa_MMR.EUR.SU</t>
  </si>
  <si>
    <t>ENEL_MMR.EUR.SU</t>
  </si>
  <si>
    <t>EnergieBadenWuerttemberg_MMR.EUR.SU</t>
  </si>
  <si>
    <t>Eon_MMR.EUR.SU</t>
  </si>
  <si>
    <t>FortumOyj_MMR.EUR.SU</t>
  </si>
  <si>
    <t>FranceTelecom_MMR.EUR.SU</t>
  </si>
  <si>
    <t>GallaherGroupPlc_MMR.EUR.SU</t>
  </si>
  <si>
    <t>GasNaturalSdgSa_MMR.EUR.SU</t>
  </si>
  <si>
    <t>GazdeFrance_MMR.EUR.SU</t>
  </si>
  <si>
    <t>Generali_MMR.EUR.SU</t>
  </si>
  <si>
    <t>GKN Holdings  Plc_MMR.EUR.SU</t>
  </si>
  <si>
    <t>GlencoreIntAG_MMR.EUR.SU</t>
  </si>
  <si>
    <t>GreatUniversalStores_MMR.EUR.SU</t>
  </si>
  <si>
    <t>HannoverRueck_MMR.EUR.SU</t>
  </si>
  <si>
    <t>Hellenic Telcom_MMR.EUR.SU</t>
  </si>
  <si>
    <t>HenkelKG_MMR.EUR.SU</t>
  </si>
  <si>
    <t>Iberdrola_MMR.EUR.SU</t>
  </si>
  <si>
    <t>ICI_MMR.EUR.SU</t>
  </si>
  <si>
    <t>Intesa_MMR.EUR.SU</t>
  </si>
  <si>
    <t>Kingfisher_MMR.EUR.SU</t>
  </si>
  <si>
    <t>Kpn_MMR.EUR.SU</t>
  </si>
  <si>
    <t>Lafarge_MMR.EUR.SU</t>
  </si>
  <si>
    <t>Linde_MMR.EUR.SU</t>
  </si>
  <si>
    <t>Lufthansa_MMR.EUR.SU</t>
  </si>
  <si>
    <t>LVMH_MMR.EUR.SU</t>
  </si>
  <si>
    <t>MarksandSpencerPLC_MMR.EUR.SU</t>
  </si>
  <si>
    <t>Metro_MMR.EUR.SU</t>
  </si>
  <si>
    <t>Michelin_MMR.EUR.SU</t>
  </si>
  <si>
    <t>MonteDeiPaschi_MMR.EUR.SU</t>
  </si>
  <si>
    <t>MunichRe_MMR.EUR.SU</t>
  </si>
  <si>
    <t>NationalGridTranscoPlc_MMR.EUR.SU</t>
  </si>
  <si>
    <t>NextPlc_MMR.EUR.SU</t>
  </si>
  <si>
    <t>Pearson_MMR.EUR.SU</t>
  </si>
  <si>
    <t>Peugeot_MMR.EUR.SU</t>
  </si>
  <si>
    <t>PhilipsElec_MMR.EUR.SU</t>
  </si>
  <si>
    <t>PinaultPrintemps_MMR.EUR.SU</t>
  </si>
  <si>
    <t>PortugalTelecom_MMR.EUR.SU</t>
  </si>
  <si>
    <t>ReedElsevier_MMR.EUR.SU</t>
  </si>
  <si>
    <t>Renault_MMR.EUR.SU</t>
  </si>
  <si>
    <t>Repsol_MMR.EUR.SU</t>
  </si>
  <si>
    <t>Reuters_MMR.EUR.SU</t>
  </si>
  <si>
    <t>RoyalBankScotland_MMR.EUR.SU</t>
  </si>
  <si>
    <t>Rwe_MMR.EUR.SU</t>
  </si>
  <si>
    <t>SafewayPlc_MMR.EUR.SU</t>
  </si>
  <si>
    <t>SanofiAventis_MMR.EUR.SU</t>
  </si>
  <si>
    <t>Siemens_MMR.EUR.SU</t>
  </si>
  <si>
    <t>SodexhoAlliance_MMR.EUR.SU</t>
  </si>
  <si>
    <t>Solvay_MMR.EUR.SU</t>
  </si>
  <si>
    <t>StGobain_MMR.EUR.SU</t>
  </si>
  <si>
    <t>StMicro_MMR.EUR.SU</t>
  </si>
  <si>
    <t>SuedzuckerAg_MMR.EUR.SU</t>
  </si>
  <si>
    <t>SuezLyonnaise_MMR.EUR.SU</t>
  </si>
  <si>
    <t>SvenskaCellulosaAB_MMR.EUR.SU</t>
  </si>
  <si>
    <t>SWISSRE_MMR.EUR.SU</t>
  </si>
  <si>
    <t>Tate&amp;Lyle_MMR.EUR.SU</t>
  </si>
  <si>
    <t>TelecomItalia_MMR.EUR.SU</t>
  </si>
  <si>
    <t>Telefonica_MMR.EUR.SU</t>
  </si>
  <si>
    <t>TelekomAustria_MMR.EUR.SU</t>
  </si>
  <si>
    <t>Telenor_MMR.EUR.SU</t>
  </si>
  <si>
    <t>Telia_MMR.EUR.SU</t>
  </si>
  <si>
    <t>Tesco_MMR.EUR.SU</t>
  </si>
  <si>
    <t>ThyssenKruppAG_MMR.EUR.SU</t>
  </si>
  <si>
    <t>UBS_MMR.EUR.SU</t>
  </si>
  <si>
    <t>UnicreditoItaliano_MMR.EUR.SU</t>
  </si>
  <si>
    <t>Unilever_MMR.EUR.SU</t>
  </si>
  <si>
    <t>UnionFenosa_MMR.EUR.SU</t>
  </si>
  <si>
    <t>UnitedUtilities_MMR.EUR.SU</t>
  </si>
  <si>
    <t>UpmKymmene_MMR.EUR.SU</t>
  </si>
  <si>
    <t>Valeo_MMR.EUR.SU</t>
  </si>
  <si>
    <t>VattenfallAB_MMR.EUR.SU</t>
  </si>
  <si>
    <t>VeoliaEnvironnement_MMR.EUR.SU</t>
  </si>
  <si>
    <t>Vinci_MMR.EUR.SU</t>
  </si>
  <si>
    <t>Vivendi_MMR.EUR.SU</t>
  </si>
  <si>
    <t>Vodafone_MMR.EUR.SU</t>
  </si>
  <si>
    <t>Volvo_MMR.EUR.SU</t>
  </si>
  <si>
    <t>VW_MMR.EUR.SU</t>
  </si>
  <si>
    <t>WoltersKluwerCVA_MMR.EUR.SU</t>
  </si>
  <si>
    <t>WPPgroup_MMR.EUR.SU</t>
  </si>
  <si>
    <t>ZurichInsurance_MMR.EUR.SU</t>
  </si>
  <si>
    <t>AceLtd_NR.USD.SU</t>
  </si>
  <si>
    <t>Aetna_NR.USD.SU</t>
  </si>
  <si>
    <t>AIG_NR.USD.SU</t>
  </si>
  <si>
    <t>Alcan_NR.USD.SU</t>
  </si>
  <si>
    <t>Alcoa_NR.USD.SU</t>
  </si>
  <si>
    <t>AllstateCorp_NR.USD.SU</t>
  </si>
  <si>
    <t>AmericanElec_NR.USD.SU</t>
  </si>
  <si>
    <t>AmericanExpress_NR.USD.SU</t>
  </si>
  <si>
    <t>Amgen_NR.USD.SU</t>
  </si>
  <si>
    <t>AnadarkoPetroleum_NR.USD.SU</t>
  </si>
  <si>
    <t>AOL_NR.USD.SU</t>
  </si>
  <si>
    <t>ArrowElectronics_NR.USD.SU</t>
  </si>
  <si>
    <t>Autozone_NR.USD.SU</t>
  </si>
  <si>
    <t>BaxterInternational_NR.USD.SU</t>
  </si>
  <si>
    <t>BeloCorp_NR.USD.SU</t>
  </si>
  <si>
    <t>BoeingCapital_NR.USD.SU</t>
  </si>
  <si>
    <t>BristolMyersSquibb_NR.USD.SU</t>
  </si>
  <si>
    <t>BurlingtonNorthSF_NR.USD.SU</t>
  </si>
  <si>
    <t>CampbellSoup_NR.USD.SU</t>
  </si>
  <si>
    <t>CapitalOnebank_NR.USD.SU</t>
  </si>
  <si>
    <t>CardinalHealth_NR.USD.SU</t>
  </si>
  <si>
    <t>Carnival_NR.USD.SU</t>
  </si>
  <si>
    <t>Caterpillar_NR.USD.SU</t>
  </si>
  <si>
    <t>CBSCorp_NR.USD.SU</t>
  </si>
  <si>
    <t>CentexCorp_NR.USD.SU</t>
  </si>
  <si>
    <t>Centurytel_NR.USD.SU</t>
  </si>
  <si>
    <t>ChubbCorp_NR.USD.SU</t>
  </si>
  <si>
    <t>CignaCorp_NR.USD.SU</t>
  </si>
  <si>
    <t>CingularWireless_NR.USD.SU</t>
  </si>
  <si>
    <t>CITgroup_NR.USD.SU</t>
  </si>
  <si>
    <t>ComcastCorp_NR.USD.SU</t>
  </si>
  <si>
    <t>ComputerSciencesCorp_NR.USD.SU</t>
  </si>
  <si>
    <t>ConAgraFoods_NR.USD.SU</t>
  </si>
  <si>
    <t>ConocoPhillips_NR.USD.SU</t>
  </si>
  <si>
    <t>ConstellationEnergyGroup_NR.USD.SU</t>
  </si>
  <si>
    <t>CountrywideHomeLoan_NR.USD.SU</t>
  </si>
  <si>
    <t>CoxCommunications_NR.USD.SU</t>
  </si>
  <si>
    <t>CSXCorp_NR.USD.SU</t>
  </si>
  <si>
    <t>CVSCorp_NR.USD.SU</t>
  </si>
  <si>
    <t>DardenRestaurantsInc_NR.USD.SU</t>
  </si>
  <si>
    <t>Deere_NR.USD.SU</t>
  </si>
  <si>
    <t>DevonEnergyCorp_NR.USD.SU</t>
  </si>
  <si>
    <t>DominionResourcesInc_NR.USD.SU</t>
  </si>
  <si>
    <t>DowChemical_NR.USD.SU</t>
  </si>
  <si>
    <t>DukeEnergy_NR.USD.SU</t>
  </si>
  <si>
    <t>DupontdeNemours_NR.USD.SU</t>
  </si>
  <si>
    <t>EastmanChemical_NR.USD.SU</t>
  </si>
  <si>
    <t>EmbarqCorp_NR.USD.SU</t>
  </si>
  <si>
    <t>FannieMae_NR.USD.SU</t>
  </si>
  <si>
    <t>FedDeptStores_NR.USD.SU</t>
  </si>
  <si>
    <t>FederalHomeLoanMortgageCorp_NR.USD.SU</t>
  </si>
  <si>
    <t>FirstEnergyCorp_NR.USD.SU</t>
  </si>
  <si>
    <t>FortuneBrandsInc_NR.USD.SU</t>
  </si>
  <si>
    <t>GannetCoInc_NR.USD.SU</t>
  </si>
  <si>
    <t>GeneralElectric_NR.USD.SU</t>
  </si>
  <si>
    <t>GeneralMillsInc_NR.USD.SU</t>
  </si>
  <si>
    <t>Goodrich_NR.USD.SU</t>
  </si>
  <si>
    <t>Halliburton_NR.USD.SU</t>
  </si>
  <si>
    <t>HartfordFinServices_NR.USD.SU</t>
  </si>
  <si>
    <t>HewlettPackard_NR.USD.SU</t>
  </si>
  <si>
    <t>HomeDepotInc_NR.USD.SU</t>
  </si>
  <si>
    <t>HoneyWellInt_NR.USD.SU</t>
  </si>
  <si>
    <t>Ibm_NR.USD.SU</t>
  </si>
  <si>
    <t>Ingersoll_NR.USD.SU</t>
  </si>
  <si>
    <t>InteractiveCorp_NR.USD.SU</t>
  </si>
  <si>
    <t>InternationalLeaseFinance_NR.USD.SU</t>
  </si>
  <si>
    <t>InternationalPaper_NR.USD.SU</t>
  </si>
  <si>
    <t>iStarFinancial_NR.USD.SU</t>
  </si>
  <si>
    <t>JCPenney_NR.USD.SU</t>
  </si>
  <si>
    <t>JonesApparelGrp_NR.USD.SU</t>
  </si>
  <si>
    <t>KraftFoodsInc_NR.USD.SU</t>
  </si>
  <si>
    <t>KrogerCo_NR.USD.SU</t>
  </si>
  <si>
    <t>LennarCorp_NR.USD.SU</t>
  </si>
  <si>
    <t>LimitedBrands_NR.USD.SU</t>
  </si>
  <si>
    <t>LizClaiborne_NR.USD.SU</t>
  </si>
  <si>
    <t>LockheedMartin_NR.USD.SU</t>
  </si>
  <si>
    <t>LoewsCorp_NR.USD.SU</t>
  </si>
  <si>
    <t>Marriott_NR.USD.SU</t>
  </si>
  <si>
    <t>Marsh&amp;MclennanCos_NR.USD.SU</t>
  </si>
  <si>
    <t>MBIAInsurance_NR.USD.SU</t>
  </si>
  <si>
    <t>McDonalds_NR.USD.SU</t>
  </si>
  <si>
    <t>McKessonCorp_NR.USD.SU</t>
  </si>
  <si>
    <t>MeadWestvaco_NR.USD.SU</t>
  </si>
  <si>
    <t>MetlifeInc_NR.USD.SU</t>
  </si>
  <si>
    <t>Motorola_NR.USD.SU</t>
  </si>
  <si>
    <t>NationalRuralUtilCoop_NR.USD.SU</t>
  </si>
  <si>
    <t>NewellRubbermaid_NR.USD.SU</t>
  </si>
  <si>
    <t>NewsAmerica_NR.USD.SU</t>
  </si>
  <si>
    <t>Nordstrom Inc_NR.USD.SU</t>
  </si>
  <si>
    <t>NorfolkSouthernCorp_NR.USD.SU</t>
  </si>
  <si>
    <t>NorthropGrummanCorp_NR.USD.SU</t>
  </si>
  <si>
    <t>Omnicom_NR.USD.SU</t>
  </si>
  <si>
    <t>PhilipMorris_NR.USD.SU</t>
  </si>
  <si>
    <t>ProgressEnergyInc_NR.USD.SU</t>
  </si>
  <si>
    <t>PulteHomesInc_NR.USD.SU</t>
  </si>
  <si>
    <t>QuestDiagnosticsInc_NR.USD.SU</t>
  </si>
  <si>
    <t>RadianGroupInc_NR.USD.SU</t>
  </si>
  <si>
    <t>Raytheon_NR.USD.SU</t>
  </si>
  <si>
    <t>RohmandHaas_NR.USD.SU</t>
  </si>
  <si>
    <t>RrDonnelley&amp;SonsCo_NR.USD.SU</t>
  </si>
  <si>
    <t>SafewayInc_NR.USD.SU</t>
  </si>
  <si>
    <t>SaraLee_NR.USD.SU</t>
  </si>
  <si>
    <t>SBCComm_NR.USD.SU</t>
  </si>
  <si>
    <t>SempraEnergy_NR.USD.SU</t>
  </si>
  <si>
    <t>SherwinWilliams_NR.USD.SU</t>
  </si>
  <si>
    <t>SimonPropertyGroupLP_NR.USD.SU</t>
  </si>
  <si>
    <t>SouthwestAirlines_NR.USD.SU</t>
  </si>
  <si>
    <t>SprintCorp_NR.USD.SU</t>
  </si>
  <si>
    <t>Starwood_NR.USD.SU</t>
  </si>
  <si>
    <t>TargetCorp_NR.USD.SU</t>
  </si>
  <si>
    <t>TextronFinancialCorp_NR.USD.SU</t>
  </si>
  <si>
    <t>TollBrothersInc_NR.USD.SU</t>
  </si>
  <si>
    <t>TransoceanSedco_NR.USD.SU</t>
  </si>
  <si>
    <t>UnionPacificCorp_NR.USD.SU</t>
  </si>
  <si>
    <t>UniversalHealthServices_NR.USD.SU</t>
  </si>
  <si>
    <t>Valero_NR.USD.SU</t>
  </si>
  <si>
    <t>VerizonCommunicationsInc_NR.USD.SU</t>
  </si>
  <si>
    <t>WalMart_NR.USD.SU</t>
  </si>
  <si>
    <t>WaltDisney_NR.USD.SU</t>
  </si>
  <si>
    <t>WashingtonMutualInc_NR.USD.SU</t>
  </si>
  <si>
    <t>WellsFargo_NR.USD.SU</t>
  </si>
  <si>
    <t>WeyerhaeuserCo_NR.USD.SU</t>
  </si>
  <si>
    <t>Whirlpool_NR.USD.SU</t>
  </si>
  <si>
    <t>Wyeth_NR.USD.SU</t>
  </si>
  <si>
    <t>XLCapitalLtd_NR.USD.SU</t>
  </si>
  <si>
    <t>TollBrothersInc.USD.SU</t>
  </si>
  <si>
    <t>LimitedBrands.USD.SU</t>
  </si>
  <si>
    <t>BritishAirways_MMR.EUR.SU</t>
  </si>
  <si>
    <t>BAA PLC_MMR.EUR.SU</t>
  </si>
  <si>
    <t>LizClaiborne.USD.SU</t>
  </si>
  <si>
    <t>FortuneBrandsInc.USD.SU</t>
  </si>
  <si>
    <t>CBSCorp.USD.SU</t>
  </si>
  <si>
    <t>CapitalOneFinancial.USD.SU</t>
  </si>
  <si>
    <t>Prologis.USD.SU</t>
  </si>
  <si>
    <t>QantasAirways.USD.SU</t>
  </si>
  <si>
    <t>PetroleosMex.USD.SU</t>
  </si>
  <si>
    <t>WashingtonMutualInc.USD.SB</t>
  </si>
  <si>
    <t>NorthernRock_MMR.EUR.SU</t>
  </si>
  <si>
    <t>IslandsbankiHF_MMR.EUR.SU</t>
  </si>
  <si>
    <t>XLCapitalLtd.USD.SU</t>
  </si>
  <si>
    <t>Carnival.USD.SU</t>
  </si>
  <si>
    <t>ResonaBank.USD.SU</t>
  </si>
  <si>
    <t>ScheringPloughCorp.USD.SU</t>
  </si>
  <si>
    <t>Bouygues_MMR.EUR.SU</t>
  </si>
  <si>
    <t>ABBIntlFinanceLtd_MMR.EUR.SU</t>
  </si>
  <si>
    <t>Scania_MMR.EUR.SU</t>
  </si>
  <si>
    <t>Omnicom.USD.SU</t>
  </si>
  <si>
    <t>CITgroup.USD.SU</t>
  </si>
  <si>
    <t>AngloIrishBankCorp_MMR.EUR.SU</t>
  </si>
  <si>
    <t>Commerzbank_MMR.EUR.SB</t>
  </si>
  <si>
    <t>UnibailHolding_MMR.EUR.SU</t>
  </si>
  <si>
    <t>Nordstrom Inc.USD.SU</t>
  </si>
  <si>
    <t>SBCComm.USD.SU</t>
  </si>
  <si>
    <t>Telstra.USD.SU</t>
  </si>
  <si>
    <t>TCNZFin.USD.SU</t>
  </si>
  <si>
    <t>KraftFoodsInc.USD.SU</t>
  </si>
  <si>
    <t>Cargill.USD.SU</t>
  </si>
  <si>
    <t>AutoStrade_MMR.EUR.SU</t>
  </si>
  <si>
    <t>Caterpillar.USD.SU</t>
  </si>
  <si>
    <t>AngloAmerican_MMR.EUR.SU</t>
  </si>
  <si>
    <t>VerizonCommunicationsInc.USD.SU</t>
  </si>
  <si>
    <t>AirLiquide_MMR.EUR.SU</t>
  </si>
  <si>
    <t>MerrillLynch.USD.SU</t>
  </si>
  <si>
    <t>AlliedIrishBanks_MMR.EUR.SB</t>
  </si>
  <si>
    <t>SuncorpMetway.USD.SU</t>
  </si>
  <si>
    <t>SumitomoBk.USD.SB</t>
  </si>
  <si>
    <t>AXA.EUR.SB</t>
  </si>
  <si>
    <t>Aegon.EUR.SB</t>
  </si>
  <si>
    <t>AmericanExpress.USD.SU</t>
  </si>
  <si>
    <t>LehmanBrosHldg.USD.SB</t>
  </si>
  <si>
    <t>Intelcorp.USD.SU</t>
  </si>
  <si>
    <t>BHPBillitonLtd.USD.SU</t>
  </si>
  <si>
    <t>BristolMyersSquibb.USD.SU</t>
  </si>
  <si>
    <t>GoldmanSachs.USD.SU</t>
  </si>
  <si>
    <t>HouseholdFinance.USD.SU</t>
  </si>
  <si>
    <t>CreditAgricole_MMR.EUR.SB</t>
  </si>
  <si>
    <t>SWISSRE.EUR.SB</t>
  </si>
  <si>
    <t>MunichRe.EUR.SB</t>
  </si>
  <si>
    <t>HannoverRueck.EUR.SB</t>
  </si>
  <si>
    <t>ZurichInsurance.EUR.SB</t>
  </si>
  <si>
    <t>JPMorganChaseCorp.USD.SB</t>
  </si>
  <si>
    <t>InternationalLeaseFinance.USD.SU</t>
  </si>
  <si>
    <t>MorganStanleyDeanWitter.USD.SB</t>
  </si>
  <si>
    <t>NordeaBk_MMR.EUR.SB</t>
  </si>
  <si>
    <t>FederalHomeLoanMortgageCorp.USD.SB</t>
  </si>
  <si>
    <t>FannieMae.USD.SB</t>
  </si>
  <si>
    <t>Medtronic.USD.SU</t>
  </si>
  <si>
    <t>Investor_MMR.EUR.SU</t>
  </si>
  <si>
    <t>Legal&amp;General_MMR.EUR.SU</t>
  </si>
  <si>
    <t>BOA.USD.SB</t>
  </si>
  <si>
    <t>Citigroup.USD.SB</t>
  </si>
  <si>
    <t>Barclays_MMR.EUR.SB</t>
  </si>
  <si>
    <t>BSCH_MMR.EUR.SB</t>
  </si>
  <si>
    <t>UBS_MMR.EUR.SB</t>
  </si>
  <si>
    <t>NatAustralianBk.USD.SB</t>
  </si>
  <si>
    <t>Generali.EUR.SB</t>
  </si>
  <si>
    <t>Allianz.EUR.SB</t>
  </si>
  <si>
    <t>AIG.USD.SU</t>
  </si>
  <si>
    <t>Dexia_MMR.EUR.SU</t>
  </si>
  <si>
    <t>AbbeyNational_MMR.EUR.SU</t>
  </si>
  <si>
    <t>INGBank_MMR.EUR.SB</t>
  </si>
  <si>
    <t>NatexisBank_MMR.EUR.SU</t>
  </si>
  <si>
    <t>BNPParibas_MMR.EUR.SB</t>
  </si>
  <si>
    <t>WellsFargo.USD.SB</t>
  </si>
  <si>
    <t>AmbacAssurance.USD.SU</t>
  </si>
  <si>
    <t>GeneralElectric.USD.SU</t>
  </si>
  <si>
    <t>TrueFalseList</t>
  </si>
  <si>
    <t>Curves Points</t>
  </si>
  <si>
    <t>Curve points</t>
  </si>
  <si>
    <t>Calculate ?</t>
  </si>
  <si>
    <t>IssuerID</t>
  </si>
  <si>
    <t>Name</t>
  </si>
  <si>
    <t>dT</t>
  </si>
  <si>
    <t>Prob Def</t>
  </si>
  <si>
    <t>Lambda</t>
  </si>
  <si>
    <t>ParamDate</t>
  </si>
  <si>
    <t>Option Position</t>
  </si>
  <si>
    <t>Issuer ID or Name</t>
  </si>
  <si>
    <t>Maturity</t>
  </si>
  <si>
    <t>Maturity Date</t>
  </si>
  <si>
    <t>Spread</t>
  </si>
  <si>
    <t>NPV (Dirty)</t>
  </si>
  <si>
    <t>FloatLeg</t>
  </si>
  <si>
    <t>FX Correl</t>
  </si>
  <si>
    <t>FixedLeg</t>
  </si>
  <si>
    <t>FX Vol</t>
  </si>
  <si>
    <t>ATM spread</t>
  </si>
  <si>
    <t>BPV</t>
  </si>
  <si>
    <t>Coupon Period</t>
  </si>
  <si>
    <t>Comp. time</t>
  </si>
  <si>
    <t>Coupon Convention</t>
  </si>
  <si>
    <t>LongFirst</t>
  </si>
  <si>
    <t>Coupon Last Settle</t>
  </si>
  <si>
    <t>IsAmericanFloatLeg</t>
  </si>
  <si>
    <t>IsAmericanFixedLeg</t>
  </si>
  <si>
    <t>With Greeks</t>
  </si>
  <si>
    <t>Hedging CDS</t>
  </si>
  <si>
    <t>Integration Period</t>
  </si>
  <si>
    <t>1m</t>
  </si>
  <si>
    <t xml:space="preserve">Calculation ? </t>
  </si>
  <si>
    <t>Inputs</t>
  </si>
  <si>
    <t>Ouputs</t>
  </si>
  <si>
    <t>CDS</t>
  </si>
  <si>
    <t>Maturity Date (FYI)</t>
  </si>
  <si>
    <t>Cpn period</t>
  </si>
  <si>
    <t>3m</t>
  </si>
  <si>
    <t>No.</t>
  </si>
  <si>
    <t>Cpn convention</t>
  </si>
  <si>
    <t>Cpn last settle</t>
  </si>
  <si>
    <t>Number of Issuers</t>
  </si>
  <si>
    <t>Sum of weights</t>
  </si>
  <si>
    <t>Low Strike</t>
  </si>
  <si>
    <t>High Strike</t>
  </si>
  <si>
    <t>Low Correl</t>
  </si>
  <si>
    <t>High Correl</t>
  </si>
  <si>
    <t>Spread Reference</t>
  </si>
  <si>
    <t>dBeta</t>
  </si>
  <si>
    <t>Def Prob Multiplier</t>
  </si>
  <si>
    <t>Loss Unit</t>
  </si>
  <si>
    <t>Nominal</t>
  </si>
  <si>
    <t>Beta Addon</t>
  </si>
  <si>
    <t>CDSR</t>
  </si>
  <si>
    <t>Param</t>
  </si>
  <si>
    <t>bonjour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</si>
</sst>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0.000"/>
    <numFmt numFmtId="165" formatCode="0.000%"/>
    <numFmt numFmtId="166" formatCode="[$-409]d\-mmm\-yy;@"/>
    <numFmt numFmtId="167" formatCode="0.0000%"/>
    <numFmt numFmtId="168" formatCode="0.00000000"/>
    <numFmt numFmtId="169" formatCode="h:mm:ss;@"/>
    <numFmt numFmtId="170" formatCode="0.00000000%"/>
    <numFmt numFmtId="171" formatCode="0.000000000%"/>
    <numFmt numFmtId="172" formatCode="0.0000000000%"/>
    <numFmt numFmtId="173" formatCode="[$-409]dd\-mmm\-yy;@"/>
    <numFmt numFmtId="174" formatCode="yyyy\-mm\-dd;@"/>
  </numFmts>
  <fonts count="3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sz val="2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B050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rgb="FF7030A0"/>
      <name val="Calibri"/>
      <family val="2"/>
      <scheme val="minor"/>
    </font>
    <font>
      <sz val="11"/>
      <color theme="1"/>
      <name val="Calibri Light"/>
      <family val="2"/>
      <scheme val="major"/>
    </font>
    <font>
      <b/>
      <sz val="10"/>
      <color theme="1"/>
      <name val="Calibri"/>
      <family val="2"/>
      <scheme val="minor"/>
    </font>
    <font>
      <sz val="10"/>
      <color rgb="FFFF0000"/>
      <name val="Calibri Light"/>
      <family val="2"/>
      <scheme val="major"/>
    </font>
    <font>
      <sz val="10"/>
      <color rgb="FF7030A0"/>
      <name val="Calibri Light"/>
      <family val="2"/>
      <scheme val="major"/>
    </font>
    <font>
      <sz val="11"/>
      <color rgb="FFFF000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000000"/>
      <name val="Calibri"/>
      <family val="2"/>
    </font>
    <font>
      <b/>
      <sz val="8"/>
      <color indexed="9"/>
      <name val="Arial"/>
      <family val="2"/>
    </font>
    <font>
      <b/>
      <sz val="8"/>
      <color indexed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8"/>
      <color indexed="10"/>
      <name val="Arial"/>
      <family val="2"/>
    </font>
    <font>
      <sz val="8"/>
      <color indexed="12"/>
      <name val="Arial"/>
      <family val="2"/>
    </font>
    <font>
      <sz val="8"/>
      <color indexed="17"/>
      <name val="Arial"/>
      <family val="2"/>
    </font>
    <font>
      <sz val="8"/>
      <color indexed="9"/>
      <name val="Arial"/>
      <family val="2"/>
    </font>
    <font>
      <b/>
      <sz val="8"/>
      <color theme="1"/>
      <name val="Arial"/>
      <family val="2"/>
    </font>
    <font>
      <sz val="8"/>
      <color theme="1"/>
      <name val="Arial"/>
      <family val="2"/>
    </font>
    <font>
      <sz val="10"/>
      <color theme="1"/>
      <name val="Calibri Light"/>
      <family val="2"/>
      <scheme val="major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1"/>
      <color indexed="8"/>
      <name val="Calibri"/>
      <family val="2"/>
      <scheme val="minor"/>
    </font>
    <font>
      <sz val="8"/>
      <color rgb="FF0070C0"/>
      <name val="Arial"/>
      <family val="2"/>
    </font>
    <font>
      <sz val="8"/>
      <color rgb="FFFF0000"/>
      <name val="Arial"/>
      <family val="2"/>
    </font>
    <font>
      <b/>
      <sz val="12"/>
      <name val="Arial"/>
      <family val="2"/>
    </font>
    <font>
      <sz val="28"/>
      <color theme="1"/>
      <name val="Calibri"/>
      <family val="2"/>
      <scheme val="minor"/>
    </font>
    <font>
      <sz val="8"/>
      <color indexed="57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FFFF"/>
        <bgColor rgb="FF000000"/>
      </patternFill>
    </fill>
  </fills>
  <borders count="4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9" fontId="2" fillId="0" borderId="0" applyFont="0" applyFill="0" applyBorder="0" applyAlignment="0" applyProtection="0"/>
    <xf numFmtId="0" fontId="3" fillId="0" borderId="0">
      <alignment horizontal="left" wrapText="1"/>
    </xf>
    <xf numFmtId="9" fontId="4" fillId="0" borderId="0" applyFont="0" applyFill="0" applyBorder="0" applyAlignment="0" applyProtection="0"/>
    <xf numFmtId="0" fontId="4" fillId="0" borderId="0">
      <alignment horizontal="left" wrapText="1"/>
    </xf>
    <xf numFmtId="9" fontId="3" fillId="0" borderId="0" applyFont="0" applyFill="0" applyBorder="0" applyAlignment="0" applyProtection="0"/>
  </cellStyleXfs>
  <cellXfs count="337">
    <xf numFmtId="0" fontId="0" fillId="0" borderId="0" xfId="0"/>
    <xf numFmtId="0" fontId="5" fillId="0" borderId="0" xfId="0" applyFont="1"/>
    <xf numFmtId="0" fontId="0" fillId="0" borderId="13" xfId="0" applyBorder="1"/>
    <xf numFmtId="0" fontId="6" fillId="0" borderId="13" xfId="0" applyFont="1" applyBorder="1"/>
    <xf numFmtId="0" fontId="7" fillId="0" borderId="0" xfId="0" applyFont="1"/>
    <xf numFmtId="164" fontId="8" fillId="3" borderId="6" xfId="0" applyNumberFormat="1" applyFont="1" applyFill="1" applyBorder="1" applyAlignment="1">
      <alignment horizontal="center"/>
    </xf>
    <xf numFmtId="9" fontId="9" fillId="0" borderId="2" xfId="1" applyFont="1" applyBorder="1" applyAlignment="1">
      <alignment horizontal="center"/>
    </xf>
    <xf numFmtId="0" fontId="7" fillId="0" borderId="0" xfId="0" applyFont="1" applyAlignment="1">
      <alignment horizontal="center"/>
    </xf>
    <xf numFmtId="9" fontId="10" fillId="0" borderId="12" xfId="2" applyNumberFormat="1" applyFont="1" applyBorder="1" applyAlignment="1">
      <alignment horizontal="center"/>
    </xf>
    <xf numFmtId="0" fontId="11" fillId="0" borderId="7" xfId="0" applyFont="1" applyBorder="1" applyAlignment="1">
      <alignment horizontal="center"/>
    </xf>
    <xf numFmtId="0" fontId="11" fillId="0" borderId="1" xfId="0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9" fontId="10" fillId="0" borderId="12" xfId="1" applyFont="1" applyBorder="1" applyAlignment="1">
      <alignment horizontal="center"/>
    </xf>
    <xf numFmtId="164" fontId="8" fillId="0" borderId="9" xfId="0" applyNumberFormat="1" applyFont="1" applyBorder="1" applyAlignment="1">
      <alignment horizontal="center"/>
    </xf>
    <xf numFmtId="164" fontId="8" fillId="0" borderId="10" xfId="0" applyNumberFormat="1" applyFont="1" applyBorder="1" applyAlignment="1">
      <alignment horizontal="center"/>
    </xf>
    <xf numFmtId="164" fontId="8" fillId="0" borderId="11" xfId="0" applyNumberFormat="1" applyFont="1" applyBorder="1" applyAlignment="1">
      <alignment horizontal="center"/>
    </xf>
    <xf numFmtId="0" fontId="7" fillId="0" borderId="13" xfId="0" applyFont="1" applyBorder="1"/>
    <xf numFmtId="0" fontId="7" fillId="0" borderId="7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9" fontId="13" fillId="0" borderId="9" xfId="1" applyFont="1" applyBorder="1" applyAlignment="1">
      <alignment horizontal="center"/>
    </xf>
    <xf numFmtId="9" fontId="14" fillId="0" borderId="8" xfId="1" applyFont="1" applyBorder="1" applyAlignment="1">
      <alignment horizontal="center"/>
    </xf>
    <xf numFmtId="0" fontId="13" fillId="0" borderId="10" xfId="0" applyFont="1" applyBorder="1" applyAlignment="1">
      <alignment horizontal="center"/>
    </xf>
    <xf numFmtId="9" fontId="13" fillId="0" borderId="10" xfId="1" applyFont="1" applyBorder="1" applyAlignment="1">
      <alignment horizontal="center"/>
    </xf>
    <xf numFmtId="9" fontId="14" fillId="0" borderId="2" xfId="1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9" fontId="13" fillId="0" borderId="11" xfId="1" applyFont="1" applyBorder="1" applyAlignment="1">
      <alignment horizontal="center"/>
    </xf>
    <xf numFmtId="9" fontId="14" fillId="0" borderId="4" xfId="1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9" fillId="0" borderId="10" xfId="0" applyFont="1" applyBorder="1" applyAlignment="1">
      <alignment horizontal="center"/>
    </xf>
    <xf numFmtId="0" fontId="9" fillId="0" borderId="11" xfId="0" applyFont="1" applyBorder="1" applyAlignment="1">
      <alignment horizontal="center"/>
    </xf>
    <xf numFmtId="9" fontId="9" fillId="0" borderId="8" xfId="1" applyFont="1" applyBorder="1" applyAlignment="1">
      <alignment horizontal="center"/>
    </xf>
    <xf numFmtId="9" fontId="9" fillId="0" borderId="4" xfId="1" applyFont="1" applyBorder="1" applyAlignment="1">
      <alignment horizontal="center"/>
    </xf>
    <xf numFmtId="9" fontId="10" fillId="0" borderId="8" xfId="1" applyFont="1" applyBorder="1" applyAlignment="1">
      <alignment horizontal="center"/>
    </xf>
    <xf numFmtId="9" fontId="10" fillId="0" borderId="2" xfId="1" applyFont="1" applyBorder="1" applyAlignment="1">
      <alignment horizontal="center"/>
    </xf>
    <xf numFmtId="9" fontId="10" fillId="0" borderId="4" xfId="1" applyFont="1" applyBorder="1" applyAlignment="1">
      <alignment horizontal="center"/>
    </xf>
    <xf numFmtId="0" fontId="0" fillId="0" borderId="9" xfId="0" applyBorder="1"/>
    <xf numFmtId="0" fontId="0" fillId="0" borderId="10" xfId="0" applyBorder="1"/>
    <xf numFmtId="9" fontId="9" fillId="0" borderId="10" xfId="1" applyFont="1" applyBorder="1" applyAlignment="1">
      <alignment horizontal="center"/>
    </xf>
    <xf numFmtId="0" fontId="9" fillId="0" borderId="11" xfId="1" applyNumberFormat="1" applyFont="1" applyBorder="1" applyAlignment="1">
      <alignment horizontal="center"/>
    </xf>
    <xf numFmtId="0" fontId="0" fillId="0" borderId="11" xfId="0" applyBorder="1"/>
    <xf numFmtId="0" fontId="0" fillId="0" borderId="12" xfId="0" applyBorder="1"/>
    <xf numFmtId="14" fontId="9" fillId="0" borderId="2" xfId="1" applyNumberFormat="1" applyFont="1" applyBorder="1" applyAlignment="1">
      <alignment horizontal="center"/>
    </xf>
    <xf numFmtId="14" fontId="9" fillId="0" borderId="10" xfId="0" applyNumberFormat="1" applyFont="1" applyBorder="1" applyAlignment="1">
      <alignment horizontal="center"/>
    </xf>
    <xf numFmtId="14" fontId="9" fillId="0" borderId="11" xfId="0" applyNumberFormat="1" applyFont="1" applyBorder="1" applyAlignment="1">
      <alignment horizontal="center"/>
    </xf>
    <xf numFmtId="14" fontId="9" fillId="0" borderId="10" xfId="1" applyNumberFormat="1" applyFont="1" applyBorder="1" applyAlignment="1">
      <alignment horizontal="center"/>
    </xf>
    <xf numFmtId="164" fontId="8" fillId="3" borderId="14" xfId="0" applyNumberFormat="1" applyFont="1" applyFill="1" applyBorder="1" applyAlignment="1">
      <alignment horizontal="center"/>
    </xf>
    <xf numFmtId="0" fontId="0" fillId="0" borderId="21" xfId="0" applyBorder="1"/>
    <xf numFmtId="0" fontId="0" fillId="0" borderId="22" xfId="0" applyBorder="1"/>
    <xf numFmtId="0" fontId="7" fillId="0" borderId="21" xfId="0" applyFont="1" applyBorder="1"/>
    <xf numFmtId="0" fontId="7" fillId="0" borderId="22" xfId="0" applyFont="1" applyBorder="1"/>
    <xf numFmtId="9" fontId="0" fillId="0" borderId="13" xfId="1" applyFont="1" applyBorder="1"/>
    <xf numFmtId="0" fontId="6" fillId="0" borderId="12" xfId="0" applyFont="1" applyBorder="1"/>
    <xf numFmtId="0" fontId="15" fillId="0" borderId="0" xfId="0" applyFont="1"/>
    <xf numFmtId="0" fontId="16" fillId="0" borderId="0" xfId="0" applyFont="1"/>
    <xf numFmtId="0" fontId="17" fillId="0" borderId="0" xfId="0" applyFont="1"/>
    <xf numFmtId="15" fontId="19" fillId="2" borderId="12" xfId="0" applyNumberFormat="1" applyFont="1" applyFill="1" applyBorder="1"/>
    <xf numFmtId="0" fontId="22" fillId="0" borderId="15" xfId="0" applyFont="1" applyBorder="1" applyAlignment="1">
      <alignment horizontal="center"/>
    </xf>
    <xf numFmtId="0" fontId="22" fillId="0" borderId="16" xfId="0" applyFont="1" applyBorder="1" applyAlignment="1">
      <alignment horizontal="center"/>
    </xf>
    <xf numFmtId="0" fontId="22" fillId="0" borderId="6" xfId="0" applyFont="1" applyBorder="1" applyAlignment="1">
      <alignment horizontal="center"/>
    </xf>
    <xf numFmtId="0" fontId="23" fillId="0" borderId="7" xfId="0" applyFont="1" applyBorder="1" applyAlignment="1">
      <alignment horizontal="center"/>
    </xf>
    <xf numFmtId="0" fontId="23" fillId="0" borderId="23" xfId="0" applyFont="1" applyBorder="1"/>
    <xf numFmtId="0" fontId="23" fillId="0" borderId="8" xfId="0" applyFont="1" applyBorder="1" applyAlignment="1">
      <alignment horizontal="center"/>
    </xf>
    <xf numFmtId="10" fontId="23" fillId="0" borderId="24" xfId="3" applyNumberFormat="1" applyFont="1" applyBorder="1" applyAlignment="1">
      <alignment horizontal="center"/>
    </xf>
    <xf numFmtId="10" fontId="23" fillId="0" borderId="25" xfId="3" applyNumberFormat="1" applyFont="1" applyBorder="1" applyAlignment="1">
      <alignment horizontal="center"/>
    </xf>
    <xf numFmtId="10" fontId="23" fillId="0" borderId="8" xfId="3" applyNumberFormat="1" applyFont="1" applyBorder="1" applyAlignment="1">
      <alignment horizontal="center"/>
    </xf>
    <xf numFmtId="0" fontId="23" fillId="0" borderId="1" xfId="0" applyFont="1" applyBorder="1" applyAlignment="1">
      <alignment horizontal="center"/>
    </xf>
    <xf numFmtId="0" fontId="23" fillId="0" borderId="0" xfId="0" applyFont="1"/>
    <xf numFmtId="0" fontId="23" fillId="0" borderId="2" xfId="0" applyFont="1" applyBorder="1" applyAlignment="1">
      <alignment horizontal="center"/>
    </xf>
    <xf numFmtId="10" fontId="23" fillId="0" borderId="26" xfId="3" applyNumberFormat="1" applyFont="1" applyBorder="1" applyAlignment="1">
      <alignment horizontal="center"/>
    </xf>
    <xf numFmtId="10" fontId="23" fillId="0" borderId="27" xfId="3" applyNumberFormat="1" applyFont="1" applyBorder="1" applyAlignment="1">
      <alignment horizontal="center"/>
    </xf>
    <xf numFmtId="10" fontId="23" fillId="0" borderId="2" xfId="3" applyNumberFormat="1" applyFont="1" applyBorder="1" applyAlignment="1">
      <alignment horizontal="center"/>
    </xf>
    <xf numFmtId="0" fontId="23" fillId="0" borderId="3" xfId="0" applyFont="1" applyBorder="1" applyAlignment="1">
      <alignment horizontal="center"/>
    </xf>
    <xf numFmtId="0" fontId="23" fillId="0" borderId="28" xfId="0" applyFont="1" applyBorder="1"/>
    <xf numFmtId="0" fontId="23" fillId="0" borderId="4" xfId="0" applyFont="1" applyBorder="1" applyAlignment="1">
      <alignment horizontal="center"/>
    </xf>
    <xf numFmtId="10" fontId="23" fillId="0" borderId="18" xfId="3" applyNumberFormat="1" applyFont="1" applyBorder="1" applyAlignment="1">
      <alignment horizontal="center"/>
    </xf>
    <xf numFmtId="10" fontId="23" fillId="0" borderId="19" xfId="3" applyNumberFormat="1" applyFont="1" applyBorder="1" applyAlignment="1">
      <alignment horizontal="center"/>
    </xf>
    <xf numFmtId="10" fontId="23" fillId="0" borderId="4" xfId="3" applyNumberFormat="1" applyFont="1" applyBorder="1" applyAlignment="1">
      <alignment horizontal="center"/>
    </xf>
    <xf numFmtId="0" fontId="21" fillId="0" borderId="0" xfId="0" applyFont="1"/>
    <xf numFmtId="0" fontId="24" fillId="0" borderId="7" xfId="0" applyFont="1" applyBorder="1" applyAlignment="1">
      <alignment horizontal="center"/>
    </xf>
    <xf numFmtId="0" fontId="21" fillId="0" borderId="23" xfId="0" applyFont="1" applyBorder="1"/>
    <xf numFmtId="10" fontId="25" fillId="0" borderId="25" xfId="3" applyNumberFormat="1" applyFont="1" applyBorder="1" applyAlignment="1">
      <alignment horizontal="center"/>
    </xf>
    <xf numFmtId="10" fontId="25" fillId="0" borderId="29" xfId="3" applyNumberFormat="1" applyFont="1" applyBorder="1" applyAlignment="1">
      <alignment horizontal="center"/>
    </xf>
    <xf numFmtId="0" fontId="24" fillId="0" borderId="1" xfId="0" applyFont="1" applyBorder="1" applyAlignment="1">
      <alignment horizontal="center"/>
    </xf>
    <xf numFmtId="0" fontId="21" fillId="0" borderId="0" xfId="0" applyFont="1" applyAlignment="1">
      <alignment horizontal="center"/>
    </xf>
    <xf numFmtId="10" fontId="25" fillId="0" borderId="27" xfId="3" applyNumberFormat="1" applyFont="1" applyBorder="1" applyAlignment="1">
      <alignment horizontal="center"/>
    </xf>
    <xf numFmtId="10" fontId="25" fillId="0" borderId="30" xfId="3" applyNumberFormat="1" applyFont="1" applyBorder="1" applyAlignment="1">
      <alignment horizontal="center"/>
    </xf>
    <xf numFmtId="0" fontId="24" fillId="0" borderId="3" xfId="0" applyFont="1" applyBorder="1" applyAlignment="1">
      <alignment horizontal="center"/>
    </xf>
    <xf numFmtId="0" fontId="21" fillId="0" borderId="28" xfId="0" applyFont="1" applyBorder="1"/>
    <xf numFmtId="10" fontId="25" fillId="0" borderId="19" xfId="3" applyNumberFormat="1" applyFont="1" applyBorder="1" applyAlignment="1">
      <alignment horizontal="center"/>
    </xf>
    <xf numFmtId="10" fontId="25" fillId="0" borderId="20" xfId="3" applyNumberFormat="1" applyFont="1" applyBorder="1" applyAlignment="1">
      <alignment horizontal="center"/>
    </xf>
    <xf numFmtId="15" fontId="19" fillId="2" borderId="5" xfId="0" applyNumberFormat="1" applyFont="1" applyFill="1" applyBorder="1"/>
    <xf numFmtId="0" fontId="21" fillId="0" borderId="0" xfId="0" quotePrefix="1" applyFont="1" applyAlignment="1">
      <alignment horizontal="center"/>
    </xf>
    <xf numFmtId="15" fontId="21" fillId="0" borderId="0" xfId="0" applyNumberFormat="1" applyFont="1" applyAlignment="1">
      <alignment horizontal="center"/>
    </xf>
    <xf numFmtId="0" fontId="21" fillId="0" borderId="7" xfId="0" applyFont="1" applyBorder="1" applyAlignment="1">
      <alignment horizontal="center"/>
    </xf>
    <xf numFmtId="9" fontId="23" fillId="0" borderId="8" xfId="0" applyNumberFormat="1" applyFont="1" applyBorder="1" applyAlignment="1">
      <alignment horizontal="center"/>
    </xf>
    <xf numFmtId="0" fontId="21" fillId="0" borderId="1" xfId="0" applyFont="1" applyBorder="1" applyAlignment="1">
      <alignment horizontal="center"/>
    </xf>
    <xf numFmtId="9" fontId="23" fillId="0" borderId="2" xfId="0" applyNumberFormat="1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9" fillId="0" borderId="9" xfId="2" applyFont="1" applyBorder="1" applyAlignment="1">
      <alignment horizontal="center"/>
    </xf>
    <xf numFmtId="0" fontId="0" fillId="0" borderId="14" xfId="0" applyBorder="1"/>
    <xf numFmtId="0" fontId="0" fillId="0" borderId="6" xfId="0" applyBorder="1"/>
    <xf numFmtId="15" fontId="27" fillId="3" borderId="14" xfId="0" applyNumberFormat="1" applyFont="1" applyFill="1" applyBorder="1" applyAlignment="1">
      <alignment horizontal="center"/>
    </xf>
    <xf numFmtId="0" fontId="7" fillId="3" borderId="9" xfId="2" applyFont="1" applyFill="1" applyBorder="1" applyAlignment="1">
      <alignment horizontal="left"/>
    </xf>
    <xf numFmtId="0" fontId="7" fillId="3" borderId="10" xfId="2" applyFont="1" applyFill="1" applyBorder="1" applyAlignment="1">
      <alignment horizontal="left"/>
    </xf>
    <xf numFmtId="0" fontId="7" fillId="3" borderId="10" xfId="0" applyFont="1" applyFill="1" applyBorder="1"/>
    <xf numFmtId="0" fontId="7" fillId="3" borderId="1" xfId="0" applyFont="1" applyFill="1" applyBorder="1"/>
    <xf numFmtId="0" fontId="7" fillId="3" borderId="3" xfId="0" applyFont="1" applyFill="1" applyBorder="1"/>
    <xf numFmtId="0" fontId="27" fillId="3" borderId="12" xfId="0" applyFont="1" applyFill="1" applyBorder="1"/>
    <xf numFmtId="0" fontId="28" fillId="3" borderId="5" xfId="0" applyFont="1" applyFill="1" applyBorder="1" applyAlignment="1">
      <alignment horizontal="center"/>
    </xf>
    <xf numFmtId="0" fontId="28" fillId="3" borderId="6" xfId="0" applyFont="1" applyFill="1" applyBorder="1" applyAlignment="1">
      <alignment horizontal="center"/>
    </xf>
    <xf numFmtId="0" fontId="7" fillId="3" borderId="5" xfId="0" applyFont="1" applyFill="1" applyBorder="1"/>
    <xf numFmtId="0" fontId="7" fillId="3" borderId="12" xfId="2" applyFont="1" applyFill="1" applyBorder="1" applyAlignment="1">
      <alignment horizontal="left"/>
    </xf>
    <xf numFmtId="0" fontId="7" fillId="3" borderId="12" xfId="0" applyFont="1" applyFill="1" applyBorder="1"/>
    <xf numFmtId="0" fontId="7" fillId="3" borderId="9" xfId="0" applyFont="1" applyFill="1" applyBorder="1"/>
    <xf numFmtId="0" fontId="7" fillId="3" borderId="11" xfId="0" applyFont="1" applyFill="1" applyBorder="1"/>
    <xf numFmtId="0" fontId="29" fillId="3" borderId="5" xfId="0" applyFont="1" applyFill="1" applyBorder="1" applyAlignment="1">
      <alignment horizontal="center"/>
    </xf>
    <xf numFmtId="0" fontId="7" fillId="3" borderId="15" xfId="0" applyFont="1" applyFill="1" applyBorder="1" applyAlignment="1">
      <alignment horizontal="center"/>
    </xf>
    <xf numFmtId="0" fontId="7" fillId="3" borderId="16" xfId="0" applyFont="1" applyFill="1" applyBorder="1" applyAlignment="1">
      <alignment horizontal="center"/>
    </xf>
    <xf numFmtId="0" fontId="7" fillId="3" borderId="17" xfId="0" applyFont="1" applyFill="1" applyBorder="1" applyAlignment="1">
      <alignment horizontal="center"/>
    </xf>
    <xf numFmtId="10" fontId="25" fillId="0" borderId="31" xfId="3" applyNumberFormat="1" applyFont="1" applyBorder="1" applyAlignment="1">
      <alignment horizontal="center"/>
    </xf>
    <xf numFmtId="10" fontId="25" fillId="0" borderId="32" xfId="3" applyNumberFormat="1" applyFont="1" applyBorder="1" applyAlignment="1">
      <alignment horizontal="center"/>
    </xf>
    <xf numFmtId="10" fontId="25" fillId="0" borderId="33" xfId="3" applyNumberFormat="1" applyFont="1" applyBorder="1" applyAlignment="1">
      <alignment horizontal="center"/>
    </xf>
    <xf numFmtId="0" fontId="21" fillId="0" borderId="8" xfId="0" applyFont="1" applyBorder="1" applyAlignment="1">
      <alignment horizontal="center"/>
    </xf>
    <xf numFmtId="0" fontId="21" fillId="0" borderId="2" xfId="0" applyFont="1" applyBorder="1" applyAlignment="1">
      <alignment horizontal="center"/>
    </xf>
    <xf numFmtId="0" fontId="21" fillId="0" borderId="4" xfId="0" applyFont="1" applyBorder="1" applyAlignment="1">
      <alignment horizontal="center"/>
    </xf>
    <xf numFmtId="0" fontId="27" fillId="3" borderId="23" xfId="0" applyFont="1" applyFill="1" applyBorder="1" applyAlignment="1">
      <alignment horizontal="center" vertical="center" wrapText="1"/>
    </xf>
    <xf numFmtId="0" fontId="27" fillId="3" borderId="12" xfId="0" applyFont="1" applyFill="1" applyBorder="1" applyAlignment="1">
      <alignment horizontal="center" vertical="center" wrapText="1"/>
    </xf>
    <xf numFmtId="0" fontId="27" fillId="3" borderId="12" xfId="0" applyFont="1" applyFill="1" applyBorder="1" applyAlignment="1">
      <alignment horizontal="center" vertical="center"/>
    </xf>
    <xf numFmtId="10" fontId="23" fillId="0" borderId="7" xfId="1" applyNumberFormat="1" applyFont="1" applyBorder="1" applyAlignment="1">
      <alignment horizontal="center"/>
    </xf>
    <xf numFmtId="10" fontId="23" fillId="0" borderId="23" xfId="1" applyNumberFormat="1" applyFont="1" applyBorder="1" applyAlignment="1">
      <alignment horizontal="center"/>
    </xf>
    <xf numFmtId="165" fontId="23" fillId="0" borderId="23" xfId="1" applyNumberFormat="1" applyFont="1" applyBorder="1" applyAlignment="1">
      <alignment horizontal="center"/>
    </xf>
    <xf numFmtId="10" fontId="25" fillId="0" borderId="7" xfId="1" applyNumberFormat="1" applyFont="1" applyBorder="1"/>
    <xf numFmtId="10" fontId="25" fillId="0" borderId="23" xfId="1" applyNumberFormat="1" applyFont="1" applyBorder="1"/>
    <xf numFmtId="10" fontId="25" fillId="0" borderId="8" xfId="1" applyNumberFormat="1" applyFont="1" applyBorder="1"/>
    <xf numFmtId="10" fontId="21" fillId="0" borderId="0" xfId="0" applyNumberFormat="1" applyFont="1"/>
    <xf numFmtId="10" fontId="23" fillId="0" borderId="1" xfId="1" applyNumberFormat="1" applyFont="1" applyBorder="1" applyAlignment="1">
      <alignment horizontal="center"/>
    </xf>
    <xf numFmtId="10" fontId="25" fillId="0" borderId="1" xfId="1" applyNumberFormat="1" applyFont="1" applyBorder="1"/>
    <xf numFmtId="10" fontId="25" fillId="0" borderId="2" xfId="1" applyNumberFormat="1" applyFont="1" applyBorder="1"/>
    <xf numFmtId="14" fontId="21" fillId="0" borderId="0" xfId="0" applyNumberFormat="1" applyFont="1"/>
    <xf numFmtId="0" fontId="20" fillId="0" borderId="6" xfId="0" applyFont="1" applyBorder="1" applyAlignment="1">
      <alignment horizontal="center"/>
    </xf>
    <xf numFmtId="15" fontId="32" fillId="0" borderId="10" xfId="0" applyNumberFormat="1" applyFont="1" applyBorder="1"/>
    <xf numFmtId="0" fontId="32" fillId="0" borderId="10" xfId="0" applyFont="1" applyBorder="1"/>
    <xf numFmtId="0" fontId="32" fillId="0" borderId="11" xfId="0" applyFont="1" applyBorder="1"/>
    <xf numFmtId="15" fontId="32" fillId="0" borderId="12" xfId="0" applyNumberFormat="1" applyFont="1" applyBorder="1"/>
    <xf numFmtId="0" fontId="20" fillId="0" borderId="12" xfId="0" applyFont="1" applyBorder="1" applyAlignment="1">
      <alignment horizontal="center"/>
    </xf>
    <xf numFmtId="0" fontId="27" fillId="3" borderId="7" xfId="0" applyFont="1" applyFill="1" applyBorder="1"/>
    <xf numFmtId="0" fontId="27" fillId="3" borderId="3" xfId="0" applyFont="1" applyFill="1" applyBorder="1"/>
    <xf numFmtId="0" fontId="28" fillId="3" borderId="8" xfId="0" applyFont="1" applyFill="1" applyBorder="1"/>
    <xf numFmtId="0" fontId="28" fillId="3" borderId="9" xfId="0" applyFont="1" applyFill="1" applyBorder="1"/>
    <xf numFmtId="0" fontId="26" fillId="3" borderId="1" xfId="0" applyFont="1" applyFill="1" applyBorder="1" applyAlignment="1">
      <alignment horizontal="center"/>
    </xf>
    <xf numFmtId="0" fontId="26" fillId="3" borderId="0" xfId="0" applyFont="1" applyFill="1" applyAlignment="1">
      <alignment horizontal="center"/>
    </xf>
    <xf numFmtId="15" fontId="33" fillId="3" borderId="5" xfId="0" applyNumberFormat="1" applyFont="1" applyFill="1" applyBorder="1" applyAlignment="1">
      <alignment horizontal="center"/>
    </xf>
    <xf numFmtId="0" fontId="26" fillId="3" borderId="2" xfId="0" applyFont="1" applyFill="1" applyBorder="1" applyAlignment="1">
      <alignment horizontal="center"/>
    </xf>
    <xf numFmtId="0" fontId="28" fillId="3" borderId="14" xfId="0" applyFont="1" applyFill="1" applyBorder="1" applyAlignment="1">
      <alignment horizontal="center"/>
    </xf>
    <xf numFmtId="165" fontId="21" fillId="0" borderId="0" xfId="1" applyNumberFormat="1" applyFont="1"/>
    <xf numFmtId="10" fontId="23" fillId="0" borderId="0" xfId="1" applyNumberFormat="1" applyFont="1" applyBorder="1" applyAlignment="1">
      <alignment horizontal="center"/>
    </xf>
    <xf numFmtId="0" fontId="21" fillId="0" borderId="34" xfId="0" applyFont="1" applyBorder="1" applyAlignment="1">
      <alignment horizontal="center"/>
    </xf>
    <xf numFmtId="0" fontId="23" fillId="0" borderId="13" xfId="0" applyFont="1" applyBorder="1"/>
    <xf numFmtId="9" fontId="23" fillId="0" borderId="35" xfId="0" applyNumberFormat="1" applyFont="1" applyBorder="1" applyAlignment="1">
      <alignment horizontal="center"/>
    </xf>
    <xf numFmtId="0" fontId="23" fillId="0" borderId="35" xfId="0" applyFont="1" applyBorder="1" applyAlignment="1">
      <alignment horizontal="center"/>
    </xf>
    <xf numFmtId="10" fontId="23" fillId="0" borderId="34" xfId="1" applyNumberFormat="1" applyFont="1" applyBorder="1" applyAlignment="1">
      <alignment horizontal="center"/>
    </xf>
    <xf numFmtId="10" fontId="23" fillId="0" borderId="13" xfId="1" applyNumberFormat="1" applyFont="1" applyBorder="1" applyAlignment="1">
      <alignment horizontal="center"/>
    </xf>
    <xf numFmtId="10" fontId="25" fillId="0" borderId="0" xfId="1" applyNumberFormat="1" applyFont="1" applyBorder="1"/>
    <xf numFmtId="167" fontId="0" fillId="0" borderId="0" xfId="1" applyNumberFormat="1" applyFont="1"/>
    <xf numFmtId="10" fontId="0" fillId="0" borderId="0" xfId="1" applyNumberFormat="1" applyFont="1"/>
    <xf numFmtId="0" fontId="11" fillId="3" borderId="12" xfId="0" applyFont="1" applyFill="1" applyBorder="1" applyAlignment="1">
      <alignment horizontal="center"/>
    </xf>
    <xf numFmtId="0" fontId="11" fillId="3" borderId="14" xfId="0" applyFont="1" applyFill="1" applyBorder="1" applyAlignment="1">
      <alignment horizontal="center"/>
    </xf>
    <xf numFmtId="0" fontId="11" fillId="3" borderId="6" xfId="0" applyFont="1" applyFill="1" applyBorder="1" applyAlignment="1">
      <alignment horizontal="center"/>
    </xf>
    <xf numFmtId="165" fontId="25" fillId="0" borderId="0" xfId="1" applyNumberFormat="1" applyFont="1" applyBorder="1" applyAlignment="1">
      <alignment horizontal="center"/>
    </xf>
    <xf numFmtId="168" fontId="0" fillId="0" borderId="0" xfId="0" applyNumberFormat="1"/>
    <xf numFmtId="0" fontId="21" fillId="3" borderId="14" xfId="0" applyFont="1" applyFill="1" applyBorder="1" applyAlignment="1">
      <alignment horizontal="center"/>
    </xf>
    <xf numFmtId="0" fontId="21" fillId="3" borderId="6" xfId="0" applyFont="1" applyFill="1" applyBorder="1" applyAlignment="1">
      <alignment horizontal="center"/>
    </xf>
    <xf numFmtId="166" fontId="21" fillId="3" borderId="12" xfId="0" applyNumberFormat="1" applyFont="1" applyFill="1" applyBorder="1" applyAlignment="1">
      <alignment horizontal="center"/>
    </xf>
    <xf numFmtId="14" fontId="21" fillId="3" borderId="12" xfId="0" applyNumberFormat="1" applyFont="1" applyFill="1" applyBorder="1" applyAlignment="1">
      <alignment horizontal="center"/>
    </xf>
    <xf numFmtId="0" fontId="21" fillId="3" borderId="12" xfId="0" applyFont="1" applyFill="1" applyBorder="1" applyAlignment="1">
      <alignment horizontal="center"/>
    </xf>
    <xf numFmtId="14" fontId="0" fillId="0" borderId="0" xfId="0" applyNumberFormat="1"/>
    <xf numFmtId="165" fontId="25" fillId="0" borderId="23" xfId="1" applyNumberFormat="1" applyFont="1" applyBorder="1" applyAlignment="1">
      <alignment horizontal="center"/>
    </xf>
    <xf numFmtId="10" fontId="24" fillId="0" borderId="2" xfId="1" applyNumberFormat="1" applyFont="1" applyBorder="1" applyAlignment="1">
      <alignment horizontal="center"/>
    </xf>
    <xf numFmtId="165" fontId="25" fillId="0" borderId="28" xfId="1" applyNumberFormat="1" applyFont="1" applyBorder="1" applyAlignment="1">
      <alignment horizontal="center"/>
    </xf>
    <xf numFmtId="0" fontId="22" fillId="3" borderId="12" xfId="0" applyFont="1" applyFill="1" applyBorder="1"/>
    <xf numFmtId="0" fontId="22" fillId="3" borderId="36" xfId="0" applyFont="1" applyFill="1" applyBorder="1" applyAlignment="1">
      <alignment horizontal="center"/>
    </xf>
    <xf numFmtId="0" fontId="22" fillId="3" borderId="37" xfId="0" applyFont="1" applyFill="1" applyBorder="1" applyAlignment="1">
      <alignment horizontal="center"/>
    </xf>
    <xf numFmtId="14" fontId="34" fillId="0" borderId="9" xfId="0" applyNumberFormat="1" applyFont="1" applyBorder="1" applyAlignment="1">
      <alignment horizontal="center"/>
    </xf>
    <xf numFmtId="14" fontId="34" fillId="0" borderId="10" xfId="0" applyNumberFormat="1" applyFont="1" applyBorder="1" applyAlignment="1">
      <alignment horizontal="center"/>
    </xf>
    <xf numFmtId="14" fontId="34" fillId="0" borderId="11" xfId="0" applyNumberFormat="1" applyFont="1" applyBorder="1" applyAlignment="1">
      <alignment horizontal="center"/>
    </xf>
    <xf numFmtId="0" fontId="23" fillId="0" borderId="6" xfId="0" applyFont="1" applyBorder="1" applyAlignment="1">
      <alignment horizontal="center"/>
    </xf>
    <xf numFmtId="0" fontId="28" fillId="3" borderId="10" xfId="0" applyFont="1" applyFill="1" applyBorder="1" applyAlignment="1">
      <alignment horizontal="center" wrapText="1"/>
    </xf>
    <xf numFmtId="0" fontId="28" fillId="3" borderId="11" xfId="0" applyFont="1" applyFill="1" applyBorder="1" applyAlignment="1">
      <alignment horizontal="center" wrapText="1"/>
    </xf>
    <xf numFmtId="0" fontId="34" fillId="3" borderId="11" xfId="0" applyFont="1" applyFill="1" applyBorder="1" applyAlignment="1">
      <alignment horizontal="center" wrapText="1"/>
    </xf>
    <xf numFmtId="0" fontId="28" fillId="3" borderId="11" xfId="0" applyFont="1" applyFill="1" applyBorder="1"/>
    <xf numFmtId="0" fontId="28" fillId="3" borderId="2" xfId="0" applyFont="1" applyFill="1" applyBorder="1" applyAlignment="1">
      <alignment horizontal="center" wrapText="1"/>
    </xf>
    <xf numFmtId="0" fontId="28" fillId="3" borderId="10" xfId="0" applyFont="1" applyFill="1" applyBorder="1"/>
    <xf numFmtId="0" fontId="21" fillId="3" borderId="5" xfId="0" applyFont="1" applyFill="1" applyBorder="1" applyAlignment="1">
      <alignment horizontal="center"/>
    </xf>
    <xf numFmtId="15" fontId="23" fillId="0" borderId="2" xfId="0" applyNumberFormat="1" applyFont="1" applyBorder="1" applyAlignment="1">
      <alignment horizontal="center"/>
    </xf>
    <xf numFmtId="165" fontId="23" fillId="0" borderId="2" xfId="0" applyNumberFormat="1" applyFont="1" applyBorder="1" applyAlignment="1">
      <alignment horizontal="center"/>
    </xf>
    <xf numFmtId="165" fontId="23" fillId="0" borderId="4" xfId="0" applyNumberFormat="1" applyFont="1" applyBorder="1" applyAlignment="1">
      <alignment horizontal="center"/>
    </xf>
    <xf numFmtId="9" fontId="23" fillId="0" borderId="4" xfId="1" applyFont="1" applyBorder="1" applyAlignment="1">
      <alignment horizontal="center"/>
    </xf>
    <xf numFmtId="0" fontId="23" fillId="0" borderId="8" xfId="0" applyFont="1" applyBorder="1"/>
    <xf numFmtId="0" fontId="23" fillId="0" borderId="4" xfId="0" applyFont="1" applyBorder="1"/>
    <xf numFmtId="0" fontId="21" fillId="0" borderId="0" xfId="0" applyFont="1" applyAlignment="1">
      <alignment horizontal="left"/>
    </xf>
    <xf numFmtId="0" fontId="23" fillId="0" borderId="10" xfId="0" applyFont="1" applyBorder="1"/>
    <xf numFmtId="0" fontId="23" fillId="0" borderId="11" xfId="0" applyFont="1" applyBorder="1"/>
    <xf numFmtId="0" fontId="21" fillId="3" borderId="0" xfId="0" applyFont="1" applyFill="1"/>
    <xf numFmtId="0" fontId="22" fillId="3" borderId="0" xfId="0" applyFont="1" applyFill="1"/>
    <xf numFmtId="0" fontId="21" fillId="3" borderId="0" xfId="0" applyFont="1" applyFill="1" applyAlignment="1">
      <alignment horizontal="center"/>
    </xf>
    <xf numFmtId="0" fontId="22" fillId="3" borderId="1" xfId="0" applyFont="1" applyFill="1" applyBorder="1"/>
    <xf numFmtId="0" fontId="22" fillId="3" borderId="3" xfId="0" applyFont="1" applyFill="1" applyBorder="1"/>
    <xf numFmtId="0" fontId="22" fillId="3" borderId="9" xfId="0" applyFont="1" applyFill="1" applyBorder="1"/>
    <xf numFmtId="0" fontId="22" fillId="3" borderId="10" xfId="0" applyFont="1" applyFill="1" applyBorder="1"/>
    <xf numFmtId="0" fontId="22" fillId="3" borderId="11" xfId="0" applyFont="1" applyFill="1" applyBorder="1"/>
    <xf numFmtId="0" fontId="22" fillId="3" borderId="9" xfId="0" applyFont="1" applyFill="1" applyBorder="1" applyAlignment="1">
      <alignment horizontal="left"/>
    </xf>
    <xf numFmtId="0" fontId="23" fillId="0" borderId="9" xfId="0" applyFont="1" applyBorder="1"/>
    <xf numFmtId="15" fontId="24" fillId="0" borderId="9" xfId="0" applyNumberFormat="1" applyFont="1" applyBorder="1" applyAlignment="1">
      <alignment horizontal="center"/>
    </xf>
    <xf numFmtId="169" fontId="24" fillId="4" borderId="11" xfId="1" applyNumberFormat="1" applyFont="1" applyFill="1" applyBorder="1" applyAlignment="1">
      <alignment horizontal="center"/>
    </xf>
    <xf numFmtId="2" fontId="24" fillId="0" borderId="7" xfId="0" applyNumberFormat="1" applyFont="1" applyBorder="1" applyAlignment="1">
      <alignment horizontal="center"/>
    </xf>
    <xf numFmtId="10" fontId="24" fillId="0" borderId="8" xfId="1" applyNumberFormat="1" applyFont="1" applyBorder="1" applyAlignment="1">
      <alignment horizontal="center"/>
    </xf>
    <xf numFmtId="2" fontId="24" fillId="0" borderId="1" xfId="0" applyNumberFormat="1" applyFont="1" applyBorder="1" applyAlignment="1">
      <alignment horizontal="center"/>
    </xf>
    <xf numFmtId="2" fontId="24" fillId="0" borderId="3" xfId="0" applyNumberFormat="1" applyFont="1" applyBorder="1" applyAlignment="1">
      <alignment horizontal="center"/>
    </xf>
    <xf numFmtId="10" fontId="24" fillId="0" borderId="4" xfId="1" applyNumberFormat="1" applyFont="1" applyBorder="1" applyAlignment="1">
      <alignment horizontal="center"/>
    </xf>
    <xf numFmtId="15" fontId="21" fillId="5" borderId="12" xfId="0" applyNumberFormat="1" applyFont="1" applyFill="1" applyBorder="1" applyAlignment="1">
      <alignment horizontal="center"/>
    </xf>
    <xf numFmtId="15" fontId="23" fillId="5" borderId="4" xfId="0" applyNumberFormat="1" applyFont="1" applyFill="1" applyBorder="1" applyAlignment="1">
      <alignment horizontal="center"/>
    </xf>
    <xf numFmtId="0" fontId="23" fillId="0" borderId="8" xfId="0" quotePrefix="1" applyFont="1" applyBorder="1" applyAlignment="1">
      <alignment horizontal="center"/>
    </xf>
    <xf numFmtId="165" fontId="25" fillId="0" borderId="23" xfId="1" applyNumberFormat="1" applyFont="1" applyBorder="1"/>
    <xf numFmtId="170" fontId="21" fillId="0" borderId="0" xfId="0" applyNumberFormat="1" applyFont="1"/>
    <xf numFmtId="171" fontId="21" fillId="0" borderId="0" xfId="1" applyNumberFormat="1" applyFont="1"/>
    <xf numFmtId="171" fontId="21" fillId="0" borderId="0" xfId="0" applyNumberFormat="1" applyFont="1"/>
    <xf numFmtId="172" fontId="21" fillId="0" borderId="0" xfId="0" applyNumberFormat="1" applyFont="1"/>
    <xf numFmtId="10" fontId="23" fillId="0" borderId="9" xfId="0" applyNumberFormat="1" applyFont="1" applyBorder="1" applyAlignment="1">
      <alignment horizontal="center"/>
    </xf>
    <xf numFmtId="0" fontId="22" fillId="6" borderId="9" xfId="0" applyFont="1" applyFill="1" applyBorder="1" applyAlignment="1">
      <alignment horizontal="left"/>
    </xf>
    <xf numFmtId="0" fontId="22" fillId="6" borderId="10" xfId="0" applyFont="1" applyFill="1" applyBorder="1" applyAlignment="1">
      <alignment horizontal="left"/>
    </xf>
    <xf numFmtId="0" fontId="22" fillId="6" borderId="12" xfId="0" applyFont="1" applyFill="1" applyBorder="1" applyAlignment="1">
      <alignment horizontal="center"/>
    </xf>
    <xf numFmtId="0" fontId="22" fillId="6" borderId="11" xfId="0" applyFont="1" applyFill="1" applyBorder="1" applyAlignment="1">
      <alignment horizontal="center"/>
    </xf>
    <xf numFmtId="0" fontId="21" fillId="0" borderId="0" xfId="2" applyFont="1" applyAlignment="1"/>
    <xf numFmtId="0" fontId="21" fillId="0" borderId="0" xfId="2" applyFont="1" applyAlignment="1">
      <alignment horizontal="center"/>
    </xf>
    <xf numFmtId="0" fontId="23" fillId="0" borderId="6" xfId="2" applyFont="1" applyBorder="1" applyAlignment="1"/>
    <xf numFmtId="15" fontId="23" fillId="4" borderId="8" xfId="2" applyNumberFormat="1" applyFont="1" applyFill="1" applyBorder="1" applyAlignment="1">
      <alignment horizontal="center"/>
    </xf>
    <xf numFmtId="173" fontId="24" fillId="0" borderId="2" xfId="2" applyNumberFormat="1" applyFont="1" applyBorder="1" applyAlignment="1">
      <alignment horizontal="center"/>
    </xf>
    <xf numFmtId="173" fontId="24" fillId="0" borderId="0" xfId="2" applyNumberFormat="1" applyFont="1" applyAlignment="1">
      <alignment horizontal="center"/>
    </xf>
    <xf numFmtId="0" fontId="23" fillId="4" borderId="2" xfId="2" applyFont="1" applyFill="1" applyBorder="1" applyAlignment="1">
      <alignment horizontal="center"/>
    </xf>
    <xf numFmtId="9" fontId="23" fillId="4" borderId="2" xfId="2" applyNumberFormat="1" applyFont="1" applyFill="1" applyBorder="1" applyAlignment="1">
      <alignment horizontal="center"/>
    </xf>
    <xf numFmtId="9" fontId="23" fillId="4" borderId="4" xfId="5" applyFont="1" applyFill="1" applyBorder="1" applyAlignment="1">
      <alignment horizontal="center"/>
    </xf>
    <xf numFmtId="165" fontId="23" fillId="4" borderId="8" xfId="2" applyNumberFormat="1" applyFont="1" applyFill="1" applyBorder="1" applyAlignment="1">
      <alignment horizontal="center"/>
    </xf>
    <xf numFmtId="15" fontId="23" fillId="4" borderId="4" xfId="2" applyNumberFormat="1" applyFont="1" applyFill="1" applyBorder="1" applyAlignment="1">
      <alignment horizontal="center"/>
    </xf>
    <xf numFmtId="0" fontId="23" fillId="4" borderId="8" xfId="2" applyFont="1" applyFill="1" applyBorder="1" applyAlignment="1">
      <alignment horizontal="center"/>
    </xf>
    <xf numFmtId="1" fontId="24" fillId="4" borderId="2" xfId="2" applyNumberFormat="1" applyFont="1" applyFill="1" applyBorder="1" applyAlignment="1">
      <alignment horizontal="center"/>
    </xf>
    <xf numFmtId="0" fontId="21" fillId="0" borderId="0" xfId="2" applyFont="1" applyAlignment="1">
      <alignment horizontal="left"/>
    </xf>
    <xf numFmtId="2" fontId="23" fillId="4" borderId="2" xfId="2" applyNumberFormat="1" applyFont="1" applyFill="1" applyBorder="1" applyAlignment="1">
      <alignment horizontal="center"/>
    </xf>
    <xf numFmtId="10" fontId="24" fillId="0" borderId="0" xfId="5" applyNumberFormat="1" applyFont="1" applyAlignment="1">
      <alignment horizontal="left"/>
    </xf>
    <xf numFmtId="0" fontId="23" fillId="0" borderId="0" xfId="2" applyFont="1" applyAlignment="1">
      <alignment horizontal="center"/>
    </xf>
    <xf numFmtId="10" fontId="23" fillId="4" borderId="2" xfId="2" quotePrefix="1" applyNumberFormat="1" applyFont="1" applyFill="1" applyBorder="1" applyAlignment="1">
      <alignment horizontal="center"/>
    </xf>
    <xf numFmtId="10" fontId="23" fillId="0" borderId="0" xfId="2" applyNumberFormat="1" applyFont="1" applyAlignment="1">
      <alignment horizontal="center"/>
    </xf>
    <xf numFmtId="10" fontId="23" fillId="4" borderId="4" xfId="2" applyNumberFormat="1" applyFont="1" applyFill="1" applyBorder="1" applyAlignment="1">
      <alignment horizontal="center"/>
    </xf>
    <xf numFmtId="0" fontId="21" fillId="0" borderId="0" xfId="2" applyFont="1" applyAlignment="1">
      <alignment horizontal="right"/>
    </xf>
    <xf numFmtId="0" fontId="23" fillId="4" borderId="8" xfId="2" applyFont="1" applyFill="1" applyBorder="1" applyAlignment="1"/>
    <xf numFmtId="0" fontId="23" fillId="4" borderId="4" xfId="2" applyFont="1" applyFill="1" applyBorder="1" applyAlignment="1"/>
    <xf numFmtId="15" fontId="21" fillId="2" borderId="6" xfId="2" applyNumberFormat="1" applyFont="1" applyFill="1" applyBorder="1" applyAlignment="1">
      <alignment horizontal="center"/>
    </xf>
    <xf numFmtId="10" fontId="23" fillId="4" borderId="2" xfId="2" applyNumberFormat="1" applyFont="1" applyFill="1" applyBorder="1" applyAlignment="1">
      <alignment horizontal="center"/>
    </xf>
    <xf numFmtId="0" fontId="23" fillId="4" borderId="2" xfId="2" applyFont="1" applyFill="1" applyBorder="1" applyAlignment="1"/>
    <xf numFmtId="0" fontId="23" fillId="0" borderId="8" xfId="2" applyFont="1" applyBorder="1" applyAlignment="1">
      <alignment horizontal="center"/>
    </xf>
    <xf numFmtId="167" fontId="37" fillId="0" borderId="0" xfId="2" applyNumberFormat="1" applyFont="1" applyAlignment="1">
      <alignment horizontal="center"/>
    </xf>
    <xf numFmtId="10" fontId="23" fillId="4" borderId="2" xfId="5" applyNumberFormat="1" applyFont="1" applyFill="1" applyBorder="1" applyAlignment="1">
      <alignment horizontal="center"/>
    </xf>
    <xf numFmtId="0" fontId="23" fillId="0" borderId="11" xfId="2" applyFont="1" applyBorder="1" applyAlignment="1">
      <alignment horizontal="center"/>
    </xf>
    <xf numFmtId="0" fontId="19" fillId="2" borderId="6" xfId="2" applyFont="1" applyFill="1" applyBorder="1" applyAlignment="1">
      <alignment horizontal="center"/>
    </xf>
    <xf numFmtId="4" fontId="23" fillId="4" borderId="9" xfId="2" applyNumberFormat="1" applyFont="1" applyFill="1" applyBorder="1" applyAlignment="1">
      <alignment horizontal="left"/>
    </xf>
    <xf numFmtId="4" fontId="23" fillId="4" borderId="9" xfId="2" applyNumberFormat="1" applyFont="1" applyFill="1" applyBorder="1" applyAlignment="1">
      <alignment horizontal="center"/>
    </xf>
    <xf numFmtId="4" fontId="23" fillId="4" borderId="10" xfId="2" applyNumberFormat="1" applyFont="1" applyFill="1" applyBorder="1" applyAlignment="1">
      <alignment horizontal="left"/>
    </xf>
    <xf numFmtId="4" fontId="23" fillId="4" borderId="10" xfId="2" applyNumberFormat="1" applyFont="1" applyFill="1" applyBorder="1" applyAlignment="1">
      <alignment horizontal="center"/>
    </xf>
    <xf numFmtId="0" fontId="19" fillId="4" borderId="8" xfId="0" applyFont="1" applyFill="1" applyBorder="1" applyAlignment="1">
      <alignment horizontal="center"/>
    </xf>
    <xf numFmtId="0" fontId="19" fillId="4" borderId="2" xfId="0" applyFont="1" applyFill="1" applyBorder="1" applyAlignment="1">
      <alignment horizontal="center"/>
    </xf>
    <xf numFmtId="0" fontId="19" fillId="2" borderId="0" xfId="0" applyFont="1" applyFill="1" applyAlignment="1">
      <alignment horizontal="center"/>
    </xf>
    <xf numFmtId="0" fontId="19" fillId="2" borderId="2" xfId="0" applyFont="1" applyFill="1" applyBorder="1" applyAlignment="1">
      <alignment horizontal="center"/>
    </xf>
    <xf numFmtId="0" fontId="25" fillId="4" borderId="23" xfId="5" quotePrefix="1" applyNumberFormat="1" applyFont="1" applyFill="1" applyBorder="1" applyAlignment="1">
      <alignment horizontal="center"/>
    </xf>
    <xf numFmtId="0" fontId="26" fillId="4" borderId="23" xfId="5" quotePrefix="1" applyNumberFormat="1" applyFont="1" applyFill="1" applyBorder="1" applyAlignment="1">
      <alignment horizontal="center"/>
    </xf>
    <xf numFmtId="0" fontId="25" fillId="4" borderId="0" xfId="5" quotePrefix="1" applyNumberFormat="1" applyFont="1" applyFill="1" applyAlignment="1">
      <alignment horizontal="center"/>
    </xf>
    <xf numFmtId="0" fontId="26" fillId="4" borderId="0" xfId="5" quotePrefix="1" applyNumberFormat="1" applyFont="1" applyFill="1" applyAlignment="1">
      <alignment horizontal="center"/>
    </xf>
    <xf numFmtId="0" fontId="25" fillId="4" borderId="0" xfId="0" quotePrefix="1" applyFont="1" applyFill="1" applyAlignment="1">
      <alignment horizontal="center"/>
    </xf>
    <xf numFmtId="0" fontId="26" fillId="4" borderId="0" xfId="0" quotePrefix="1" applyFont="1" applyFill="1" applyAlignment="1">
      <alignment horizontal="center"/>
    </xf>
    <xf numFmtId="0" fontId="25" fillId="4" borderId="0" xfId="5" applyNumberFormat="1" applyFont="1" applyFill="1" applyAlignment="1">
      <alignment horizontal="center"/>
    </xf>
    <xf numFmtId="0" fontId="26" fillId="4" borderId="0" xfId="5" applyNumberFormat="1" applyFont="1" applyFill="1" applyAlignment="1">
      <alignment horizontal="center"/>
    </xf>
    <xf numFmtId="0" fontId="25" fillId="0" borderId="28" xfId="5" applyNumberFormat="1" applyFont="1" applyBorder="1" applyAlignment="1">
      <alignment horizontal="center"/>
    </xf>
    <xf numFmtId="0" fontId="25" fillId="0" borderId="4" xfId="5" applyNumberFormat="1" applyFont="1" applyBorder="1" applyAlignment="1">
      <alignment horizontal="center"/>
    </xf>
    <xf numFmtId="9" fontId="25" fillId="4" borderId="23" xfId="1" quotePrefix="1" applyFont="1" applyFill="1" applyBorder="1" applyAlignment="1">
      <alignment horizontal="center"/>
    </xf>
    <xf numFmtId="165" fontId="0" fillId="0" borderId="0" xfId="0" applyNumberFormat="1"/>
    <xf numFmtId="174" fontId="0" fillId="0" borderId="0" xfId="0" applyNumberFormat="1"/>
    <xf numFmtId="9" fontId="25" fillId="4" borderId="0" xfId="1" quotePrefix="1" applyFont="1" applyFill="1" applyAlignment="1">
      <alignment horizontal="center"/>
    </xf>
    <xf numFmtId="9" fontId="25" fillId="4" borderId="0" xfId="1" applyFont="1" applyFill="1" applyAlignment="1">
      <alignment horizontal="center"/>
    </xf>
    <xf numFmtId="0" fontId="0" fillId="0" borderId="0" xfId="0" quotePrefix="1"/>
    <xf numFmtId="0" fontId="22" fillId="0" borderId="5" xfId="2" applyFont="1" applyBorder="1" applyAlignment="1"/>
    <xf numFmtId="0" fontId="22" fillId="0" borderId="9" xfId="2" applyFont="1" applyBorder="1" applyAlignment="1"/>
    <xf numFmtId="0" fontId="22" fillId="0" borderId="10" xfId="2" applyFont="1" applyBorder="1" applyAlignment="1"/>
    <xf numFmtId="0" fontId="22" fillId="0" borderId="11" xfId="2" applyFont="1" applyBorder="1" applyAlignment="1"/>
    <xf numFmtId="0" fontId="22" fillId="0" borderId="9" xfId="2" applyFont="1" applyBorder="1" applyAlignment="1">
      <alignment horizontal="left"/>
    </xf>
    <xf numFmtId="0" fontId="22" fillId="0" borderId="44" xfId="2" applyFont="1" applyBorder="1" applyAlignment="1"/>
    <xf numFmtId="0" fontId="22" fillId="0" borderId="5" xfId="2" applyFont="1" applyBorder="1" applyAlignment="1">
      <alignment horizontal="center"/>
    </xf>
    <xf numFmtId="0" fontId="22" fillId="0" borderId="9" xfId="2" applyFont="1" applyBorder="1" applyAlignment="1">
      <alignment horizontal="center"/>
    </xf>
    <xf numFmtId="0" fontId="22" fillId="0" borderId="10" xfId="2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27" fillId="3" borderId="7" xfId="0" applyFont="1" applyFill="1" applyBorder="1" applyAlignment="1">
      <alignment horizontal="center"/>
    </xf>
    <xf numFmtId="0" fontId="27" fillId="3" borderId="23" xfId="0" applyFont="1" applyFill="1" applyBorder="1" applyAlignment="1">
      <alignment horizontal="center"/>
    </xf>
    <xf numFmtId="0" fontId="27" fillId="3" borderId="8" xfId="0" applyFont="1" applyFill="1" applyBorder="1" applyAlignment="1">
      <alignment horizontal="center"/>
    </xf>
    <xf numFmtId="0" fontId="27" fillId="3" borderId="5" xfId="0" applyFont="1" applyFill="1" applyBorder="1" applyAlignment="1">
      <alignment horizontal="center"/>
    </xf>
    <xf numFmtId="0" fontId="27" fillId="3" borderId="14" xfId="0" applyFont="1" applyFill="1" applyBorder="1" applyAlignment="1">
      <alignment horizontal="center"/>
    </xf>
    <xf numFmtId="0" fontId="27" fillId="3" borderId="6" xfId="0" applyFont="1" applyFill="1" applyBorder="1" applyAlignment="1">
      <alignment horizontal="center"/>
    </xf>
    <xf numFmtId="0" fontId="22" fillId="3" borderId="5" xfId="0" applyFont="1" applyFill="1" applyBorder="1" applyAlignment="1">
      <alignment horizontal="center"/>
    </xf>
    <xf numFmtId="0" fontId="22" fillId="3" borderId="14" xfId="0" applyFont="1" applyFill="1" applyBorder="1" applyAlignment="1">
      <alignment horizontal="center"/>
    </xf>
    <xf numFmtId="0" fontId="22" fillId="3" borderId="6" xfId="0" applyFont="1" applyFill="1" applyBorder="1" applyAlignment="1">
      <alignment horizontal="center"/>
    </xf>
    <xf numFmtId="0" fontId="20" fillId="0" borderId="7" xfId="0" applyFont="1" applyBorder="1" applyAlignment="1">
      <alignment horizontal="center"/>
    </xf>
    <xf numFmtId="0" fontId="20" fillId="0" borderId="8" xfId="0" applyFont="1" applyBorder="1" applyAlignment="1">
      <alignment horizontal="center"/>
    </xf>
    <xf numFmtId="15" fontId="20" fillId="4" borderId="3" xfId="0" applyNumberFormat="1" applyFont="1" applyFill="1" applyBorder="1" applyAlignment="1">
      <alignment horizontal="center"/>
    </xf>
    <xf numFmtId="15" fontId="20" fillId="4" borderId="4" xfId="0" applyNumberFormat="1" applyFont="1" applyFill="1" applyBorder="1" applyAlignment="1">
      <alignment horizontal="center"/>
    </xf>
    <xf numFmtId="0" fontId="35" fillId="0" borderId="5" xfId="0" applyFont="1" applyBorder="1" applyAlignment="1">
      <alignment horizontal="center"/>
    </xf>
    <xf numFmtId="0" fontId="35" fillId="0" borderId="6" xfId="0" applyFont="1" applyBorder="1" applyAlignment="1">
      <alignment horizontal="center"/>
    </xf>
    <xf numFmtId="0" fontId="36" fillId="0" borderId="7" xfId="0" applyFont="1" applyBorder="1" applyAlignment="1">
      <alignment horizontal="center" vertical="center"/>
    </xf>
    <xf numFmtId="0" fontId="36" fillId="0" borderId="23" xfId="0" applyFont="1" applyBorder="1" applyAlignment="1">
      <alignment horizontal="center" vertical="center"/>
    </xf>
    <xf numFmtId="0" fontId="36" fillId="0" borderId="8" xfId="0" applyFont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0" fontId="36" fillId="0" borderId="3" xfId="0" applyFont="1" applyBorder="1" applyAlignment="1">
      <alignment horizontal="center" vertical="center"/>
    </xf>
    <xf numFmtId="0" fontId="36" fillId="0" borderId="28" xfId="0" applyFont="1" applyBorder="1" applyAlignment="1">
      <alignment horizontal="center" vertical="center"/>
    </xf>
    <xf numFmtId="0" fontId="36" fillId="0" borderId="4" xfId="0" applyFont="1" applyBorder="1" applyAlignment="1">
      <alignment horizontal="center" vertical="center"/>
    </xf>
    <xf numFmtId="0" fontId="20" fillId="0" borderId="38" xfId="0" applyFont="1" applyBorder="1" applyAlignment="1">
      <alignment horizontal="center"/>
    </xf>
    <xf numFmtId="0" fontId="20" fillId="0" borderId="39" xfId="0" applyFont="1" applyBorder="1" applyAlignment="1">
      <alignment horizontal="center"/>
    </xf>
    <xf numFmtId="0" fontId="20" fillId="0" borderId="40" xfId="0" applyFont="1" applyBorder="1" applyAlignment="1">
      <alignment horizontal="center"/>
    </xf>
    <xf numFmtId="0" fontId="24" fillId="0" borderId="41" xfId="0" applyFont="1" applyBorder="1" applyAlignment="1">
      <alignment horizontal="center"/>
    </xf>
    <xf numFmtId="0" fontId="24" fillId="0" borderId="42" xfId="0" applyFont="1" applyBorder="1" applyAlignment="1">
      <alignment horizontal="center"/>
    </xf>
    <xf numFmtId="0" fontId="24" fillId="0" borderId="43" xfId="0" applyFont="1" applyBorder="1" applyAlignment="1">
      <alignment horizontal="center"/>
    </xf>
  </cellXfs>
  <cellStyles count="6">
    <cellStyle name="Normal" xfId="0" builtinId="0"/>
    <cellStyle name="Normal 2" xfId="2" xr:uid="{43EB118B-06AD-4387-B81B-417ECB34FEB0}"/>
    <cellStyle name="Normal 3" xfId="4" xr:uid="{E238EBB5-48B8-4FED-9264-711ACF85AE28}"/>
    <cellStyle name="Pourcentage" xfId="1" builtinId="5"/>
    <cellStyle name="Pourcentage 2" xfId="3" xr:uid="{F7D3DB99-EE94-4E9D-955A-FA3CDEDC7187}"/>
    <cellStyle name="Pourcentage 3" xfId="5" xr:uid="{EA01CF52-6D51-473C-AE6C-2549AA0659B6}"/>
  </cellStyles>
  <dxfs count="2"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externalLink" Target="externalLinks/externalLink2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FFFFFF"/>
                </a:solidFill>
                <a:latin typeface="Arial"/>
                <a:ea typeface="Arial"/>
                <a:cs typeface="Arial"/>
              </a:defRPr>
            </a:pPr>
            <a:r>
              <a:rPr lang="fr-FR">
                <a:solidFill>
                  <a:schemeClr val="tx1"/>
                </a:solidFill>
              </a:rPr>
              <a:t>Forward</a:t>
            </a:r>
            <a:r>
              <a:rPr lang="fr-FR"/>
              <a:t> </a:t>
            </a:r>
            <a:r>
              <a:rPr lang="fr-FR">
                <a:solidFill>
                  <a:schemeClr val="tx1"/>
                </a:solidFill>
              </a:rPr>
              <a:t>Default Intensity Curve Stripped from CDS Curves    </a:t>
            </a:r>
          </a:p>
        </c:rich>
      </c:tx>
      <c:layout>
        <c:manualLayout>
          <c:xMode val="edge"/>
          <c:yMode val="edge"/>
          <c:x val="3.0330804979652775E-2"/>
          <c:y val="1.4285624100921332E-2"/>
        </c:manualLayout>
      </c:layout>
      <c:overlay val="0"/>
      <c:spPr>
        <a:solidFill>
          <a:schemeClr val="bg1"/>
        </a:solidFill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904411764705882E-2"/>
          <c:y val="0.13376623376623376"/>
          <c:w val="0.90992647058823528"/>
          <c:h val="0.80389610389610389"/>
        </c:manualLayout>
      </c:layout>
      <c:lineChart>
        <c:grouping val="standard"/>
        <c:varyColors val="0"/>
        <c:ser>
          <c:idx val="0"/>
          <c:order val="0"/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'Fwd Intensity'!$E$10:$E$129</c:f>
              <c:numCache>
                <c:formatCode>0.00%</c:formatCode>
                <c:ptCount val="120"/>
                <c:pt idx="0">
                  <c:v>2.2316625363527315E-3</c:v>
                </c:pt>
                <c:pt idx="1">
                  <c:v>2.2316625363540195E-3</c:v>
                </c:pt>
                <c:pt idx="2">
                  <c:v>2.2316625363510032E-3</c:v>
                </c:pt>
                <c:pt idx="3">
                  <c:v>2.2316625363526686E-3</c:v>
                </c:pt>
                <c:pt idx="4">
                  <c:v>2.2316625363523121E-3</c:v>
                </c:pt>
                <c:pt idx="5">
                  <c:v>2.2316625363523108E-3</c:v>
                </c:pt>
                <c:pt idx="6">
                  <c:v>4.6484572385530627E-3</c:v>
                </c:pt>
                <c:pt idx="7">
                  <c:v>4.6484572385544218E-3</c:v>
                </c:pt>
                <c:pt idx="8">
                  <c:v>4.648457238554414E-3</c:v>
                </c:pt>
                <c:pt idx="9">
                  <c:v>4.6484572385531138E-3</c:v>
                </c:pt>
                <c:pt idx="10">
                  <c:v>4.6484572385531138E-3</c:v>
                </c:pt>
                <c:pt idx="11">
                  <c:v>4.6484572385527773E-3</c:v>
                </c:pt>
                <c:pt idx="12">
                  <c:v>5.4765327297225672E-3</c:v>
                </c:pt>
                <c:pt idx="13">
                  <c:v>5.4765327297218386E-3</c:v>
                </c:pt>
                <c:pt idx="14">
                  <c:v>5.4765327297212731E-3</c:v>
                </c:pt>
                <c:pt idx="15">
                  <c:v>5.4765327297231752E-3</c:v>
                </c:pt>
                <c:pt idx="16">
                  <c:v>5.4765327297238891E-3</c:v>
                </c:pt>
                <c:pt idx="17">
                  <c:v>5.4765327297212731E-3</c:v>
                </c:pt>
                <c:pt idx="18">
                  <c:v>5.47653272972319E-3</c:v>
                </c:pt>
                <c:pt idx="19">
                  <c:v>5.4765327297225811E-3</c:v>
                </c:pt>
                <c:pt idx="20">
                  <c:v>5.4765327297231752E-3</c:v>
                </c:pt>
                <c:pt idx="21">
                  <c:v>5.4765327297212731E-3</c:v>
                </c:pt>
                <c:pt idx="22">
                  <c:v>5.4765327297225811E-3</c:v>
                </c:pt>
                <c:pt idx="23">
                  <c:v>5.4765327297228942E-3</c:v>
                </c:pt>
                <c:pt idx="24">
                  <c:v>7.3825393673665743E-3</c:v>
                </c:pt>
                <c:pt idx="25">
                  <c:v>7.3825393673661059E-3</c:v>
                </c:pt>
                <c:pt idx="26">
                  <c:v>7.3825393673678814E-3</c:v>
                </c:pt>
                <c:pt idx="27">
                  <c:v>7.3825393673661059E-3</c:v>
                </c:pt>
                <c:pt idx="28">
                  <c:v>7.3825393673652663E-3</c:v>
                </c:pt>
                <c:pt idx="29">
                  <c:v>7.3825393673652663E-3</c:v>
                </c:pt>
                <c:pt idx="30">
                  <c:v>7.382539367366066E-3</c:v>
                </c:pt>
                <c:pt idx="31">
                  <c:v>7.3825393673652663E-3</c:v>
                </c:pt>
                <c:pt idx="32">
                  <c:v>7.3825393673661059E-3</c:v>
                </c:pt>
                <c:pt idx="33">
                  <c:v>7.3825393673678814E-3</c:v>
                </c:pt>
                <c:pt idx="34">
                  <c:v>7.3825393673652663E-3</c:v>
                </c:pt>
                <c:pt idx="35">
                  <c:v>7.3825393673667764E-3</c:v>
                </c:pt>
                <c:pt idx="36">
                  <c:v>9.1580840033531168E-3</c:v>
                </c:pt>
                <c:pt idx="37">
                  <c:v>9.1580840033526519E-3</c:v>
                </c:pt>
                <c:pt idx="38">
                  <c:v>9.1580840033531168E-3</c:v>
                </c:pt>
                <c:pt idx="39">
                  <c:v>9.1580840033526519E-3</c:v>
                </c:pt>
                <c:pt idx="40">
                  <c:v>9.1580840033531168E-3</c:v>
                </c:pt>
                <c:pt idx="41">
                  <c:v>9.1580840033531168E-3</c:v>
                </c:pt>
                <c:pt idx="42">
                  <c:v>9.1580840033526015E-3</c:v>
                </c:pt>
                <c:pt idx="43">
                  <c:v>9.1580840033544247E-3</c:v>
                </c:pt>
                <c:pt idx="44">
                  <c:v>9.1580840033526519E-3</c:v>
                </c:pt>
                <c:pt idx="45">
                  <c:v>9.1580840033531168E-3</c:v>
                </c:pt>
                <c:pt idx="46">
                  <c:v>9.1580840033531168E-3</c:v>
                </c:pt>
                <c:pt idx="47">
                  <c:v>9.158084003353573E-3</c:v>
                </c:pt>
                <c:pt idx="48">
                  <c:v>9.1580840033518556E-3</c:v>
                </c:pt>
                <c:pt idx="49">
                  <c:v>9.1580840033539529E-3</c:v>
                </c:pt>
                <c:pt idx="50">
                  <c:v>9.1580840033531636E-3</c:v>
                </c:pt>
                <c:pt idx="51">
                  <c:v>9.1580840033526015E-3</c:v>
                </c:pt>
                <c:pt idx="52">
                  <c:v>9.1580840033517602E-3</c:v>
                </c:pt>
                <c:pt idx="53">
                  <c:v>9.1580840033544733E-3</c:v>
                </c:pt>
                <c:pt idx="54">
                  <c:v>9.1580840033512502E-3</c:v>
                </c:pt>
                <c:pt idx="55">
                  <c:v>9.1580840033518556E-3</c:v>
                </c:pt>
                <c:pt idx="56">
                  <c:v>9.1580840033539529E-3</c:v>
                </c:pt>
                <c:pt idx="57">
                  <c:v>9.1580840033518556E-3</c:v>
                </c:pt>
                <c:pt idx="58">
                  <c:v>9.1580840033530682E-3</c:v>
                </c:pt>
                <c:pt idx="59">
                  <c:v>9.158084003354933E-3</c:v>
                </c:pt>
                <c:pt idx="60">
                  <c:v>9.4314609385475149E-3</c:v>
                </c:pt>
                <c:pt idx="61">
                  <c:v>9.4314609385453396E-3</c:v>
                </c:pt>
                <c:pt idx="62">
                  <c:v>9.4314609385462052E-3</c:v>
                </c:pt>
                <c:pt idx="63">
                  <c:v>9.4314609385480423E-3</c:v>
                </c:pt>
                <c:pt idx="64">
                  <c:v>9.431460938547416E-3</c:v>
                </c:pt>
                <c:pt idx="65">
                  <c:v>9.4314609385462052E-3</c:v>
                </c:pt>
                <c:pt idx="66">
                  <c:v>9.4314609385466909E-3</c:v>
                </c:pt>
                <c:pt idx="67">
                  <c:v>9.4314609385475149E-3</c:v>
                </c:pt>
                <c:pt idx="68">
                  <c:v>9.4314609385453396E-3</c:v>
                </c:pt>
                <c:pt idx="69">
                  <c:v>9.4314609385488229E-3</c:v>
                </c:pt>
                <c:pt idx="70">
                  <c:v>9.431460938546108E-3</c:v>
                </c:pt>
                <c:pt idx="71">
                  <c:v>9.431460938547841E-3</c:v>
                </c:pt>
                <c:pt idx="72">
                  <c:v>9.4314609385462052E-3</c:v>
                </c:pt>
                <c:pt idx="73">
                  <c:v>9.4314609385466909E-3</c:v>
                </c:pt>
                <c:pt idx="74">
                  <c:v>9.4314609385475149E-3</c:v>
                </c:pt>
                <c:pt idx="75">
                  <c:v>9.4314609385466909E-3</c:v>
                </c:pt>
                <c:pt idx="76">
                  <c:v>9.431460938547416E-3</c:v>
                </c:pt>
                <c:pt idx="77">
                  <c:v>9.4314609385462052E-3</c:v>
                </c:pt>
                <c:pt idx="78">
                  <c:v>9.4314609385466909E-3</c:v>
                </c:pt>
                <c:pt idx="79">
                  <c:v>9.4314609385462052E-3</c:v>
                </c:pt>
                <c:pt idx="80">
                  <c:v>9.4314609385466909E-3</c:v>
                </c:pt>
                <c:pt idx="81">
                  <c:v>9.4314609385475149E-3</c:v>
                </c:pt>
                <c:pt idx="82">
                  <c:v>9.431460938546108E-3</c:v>
                </c:pt>
                <c:pt idx="83">
                  <c:v>9.4314609385463925E-3</c:v>
                </c:pt>
                <c:pt idx="84">
                  <c:v>1.0143267553865338E-2</c:v>
                </c:pt>
                <c:pt idx="85">
                  <c:v>1.0143267553862721E-2</c:v>
                </c:pt>
                <c:pt idx="86">
                  <c:v>1.0143267553862722E-2</c:v>
                </c:pt>
                <c:pt idx="87">
                  <c:v>1.0143267553861367E-2</c:v>
                </c:pt>
                <c:pt idx="88">
                  <c:v>1.0143267553862616E-2</c:v>
                </c:pt>
                <c:pt idx="89">
                  <c:v>1.0143267553862722E-2</c:v>
                </c:pt>
                <c:pt idx="90">
                  <c:v>1.0143267553862721E-2</c:v>
                </c:pt>
                <c:pt idx="91">
                  <c:v>1.0143267553862722E-2</c:v>
                </c:pt>
                <c:pt idx="92">
                  <c:v>1.0143267553862721E-2</c:v>
                </c:pt>
                <c:pt idx="93">
                  <c:v>1.0143267553862722E-2</c:v>
                </c:pt>
                <c:pt idx="94">
                  <c:v>1.0143267553862616E-2</c:v>
                </c:pt>
                <c:pt idx="95">
                  <c:v>1.0143267553862856E-2</c:v>
                </c:pt>
                <c:pt idx="96">
                  <c:v>1.0143267553862616E-2</c:v>
                </c:pt>
                <c:pt idx="97">
                  <c:v>1.0143267553864181E-2</c:v>
                </c:pt>
                <c:pt idx="98">
                  <c:v>1.0143267553862616E-2</c:v>
                </c:pt>
                <c:pt idx="99">
                  <c:v>1.014326755386283E-2</c:v>
                </c:pt>
                <c:pt idx="100">
                  <c:v>1.0143267553861307E-2</c:v>
                </c:pt>
                <c:pt idx="101">
                  <c:v>1.0143267553863924E-2</c:v>
                </c:pt>
                <c:pt idx="102">
                  <c:v>1.014326755386283E-2</c:v>
                </c:pt>
                <c:pt idx="103">
                  <c:v>1.0143267553862616E-2</c:v>
                </c:pt>
                <c:pt idx="104">
                  <c:v>1.014326755386283E-2</c:v>
                </c:pt>
                <c:pt idx="105">
                  <c:v>1.0143267553861307E-2</c:v>
                </c:pt>
                <c:pt idx="106">
                  <c:v>1.0143267553863924E-2</c:v>
                </c:pt>
                <c:pt idx="107">
                  <c:v>1.0143267553860103E-2</c:v>
                </c:pt>
                <c:pt idx="108">
                  <c:v>1.0143267553863924E-2</c:v>
                </c:pt>
                <c:pt idx="109">
                  <c:v>1.0143267553861478E-2</c:v>
                </c:pt>
                <c:pt idx="110">
                  <c:v>1.0143267553862616E-2</c:v>
                </c:pt>
                <c:pt idx="111">
                  <c:v>1.014326755386283E-2</c:v>
                </c:pt>
                <c:pt idx="112">
                  <c:v>1.0143267553862616E-2</c:v>
                </c:pt>
                <c:pt idx="113">
                  <c:v>1.0143267553862616E-2</c:v>
                </c:pt>
                <c:pt idx="114">
                  <c:v>1.014326755386283E-2</c:v>
                </c:pt>
                <c:pt idx="115">
                  <c:v>1.0143267553862616E-2</c:v>
                </c:pt>
                <c:pt idx="116">
                  <c:v>1.014326755386283E-2</c:v>
                </c:pt>
                <c:pt idx="117">
                  <c:v>1.0143267553862616E-2</c:v>
                </c:pt>
                <c:pt idx="118">
                  <c:v>1.0143267553862616E-2</c:v>
                </c:pt>
                <c:pt idx="119">
                  <c:v>1.0143267553863E-2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1F-4713-8FE2-053A5B70C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3234320"/>
        <c:axId val="1"/>
      </c:lineChart>
      <c:catAx>
        <c:axId val="6832343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75" b="1" i="0" u="none" strike="noStrike" baseline="0">
                    <a:solidFill>
                      <a:srgbClr val="008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months</a:t>
                </a:r>
              </a:p>
            </c:rich>
          </c:tx>
          <c:layout>
            <c:manualLayout>
              <c:xMode val="edge"/>
              <c:yMode val="edge"/>
              <c:x val="0.91636032651881816"/>
              <c:y val="0.8610388401984676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1" i="0" u="none" strike="noStrike" baseline="0">
                <a:solidFill>
                  <a:srgbClr val="008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auto val="1"/>
        <c:lblAlgn val="ctr"/>
        <c:lblOffset val="100"/>
        <c:tickLblSkip val="1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numFmt formatCode="0.0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683234320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6350">
      <a:solidFill>
        <a:schemeClr val="tx1"/>
      </a:solidFill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45720</xdr:colOff>
          <xdr:row>10</xdr:row>
          <xdr:rowOff>76200</xdr:rowOff>
        </xdr:from>
        <xdr:to>
          <xdr:col>10</xdr:col>
          <xdr:colOff>480060</xdr:colOff>
          <xdr:row>12</xdr:row>
          <xdr:rowOff>106680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579120</xdr:colOff>
          <xdr:row>18</xdr:row>
          <xdr:rowOff>175260</xdr:rowOff>
        </xdr:from>
        <xdr:to>
          <xdr:col>9</xdr:col>
          <xdr:colOff>167640</xdr:colOff>
          <xdr:row>21</xdr:row>
          <xdr:rowOff>15240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Strip IRS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99060</xdr:colOff>
          <xdr:row>3</xdr:row>
          <xdr:rowOff>30480</xdr:rowOff>
        </xdr:from>
        <xdr:to>
          <xdr:col>13</xdr:col>
          <xdr:colOff>22860</xdr:colOff>
          <xdr:row>5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3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Strip CDS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205740</xdr:colOff>
          <xdr:row>6</xdr:row>
          <xdr:rowOff>15240</xdr:rowOff>
        </xdr:from>
        <xdr:to>
          <xdr:col>8</xdr:col>
          <xdr:colOff>579120</xdr:colOff>
          <xdr:row>8</xdr:row>
          <xdr:rowOff>22860</xdr:rowOff>
        </xdr:to>
        <xdr:sp macro="" textlink="">
          <xdr:nvSpPr>
            <xdr:cNvPr id="8204" name="Button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4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123825</xdr:colOff>
      <xdr:row>7</xdr:row>
      <xdr:rowOff>76200</xdr:rowOff>
    </xdr:from>
    <xdr:to>
      <xdr:col>14</xdr:col>
      <xdr:colOff>123825</xdr:colOff>
      <xdr:row>30</xdr:row>
      <xdr:rowOff>19050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601980</xdr:colOff>
          <xdr:row>3</xdr:row>
          <xdr:rowOff>30480</xdr:rowOff>
        </xdr:from>
        <xdr:to>
          <xdr:col>6</xdr:col>
          <xdr:colOff>190500</xdr:colOff>
          <xdr:row>5</xdr:row>
          <xdr:rowOff>45720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5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.baduet\AppData\Local\Microsoft\Windows\INetCache\Content.Outlook\E6ISMNHN\OpenCredit%20Release%202007-11-01.xlsm" TargetMode="External"/><Relationship Id="rId1" Type="http://schemas.openxmlformats.org/officeDocument/2006/relationships/externalLinkPath" Target="file:///C:\Users\l.baduet\AppData\Local\Microsoft\Windows\INetCache\Content.Outlook\E6ISMNHN\OpenCredit%20Release%202007-11-01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axisalternatives1-my.sharepoint.com/personal/l_baduet_axisalternatives_com/Documents/Bureau/cas%203.xlsm" TargetMode="External"/><Relationship Id="rId1" Type="http://schemas.openxmlformats.org/officeDocument/2006/relationships/externalLinkPath" Target="/personal/l_baduet_axisalternatives_com/Documents/Bureau/cas%203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.baduet\OneDrive%20-%20AXIS%20ALTERNATIVES\Bureau\Valo_Add_In.xlam" TargetMode="External"/><Relationship Id="rId1" Type="http://schemas.openxmlformats.org/officeDocument/2006/relationships/externalLinkPath" Target="file:///C:\Users\l.baduet\OneDrive%20-%20AXIS%20ALTERNATIVES\Bureau\Valo_Add_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ventions"/>
      <sheetName val="IRS Strip"/>
      <sheetName val="CDS Strip"/>
      <sheetName val="CDS"/>
      <sheetName val="CDO2"/>
      <sheetName val="CDO Bespoke"/>
      <sheetName val="Sheet1"/>
      <sheetName val="Forward Intensity"/>
      <sheetName val="Sheet3"/>
    </sheetNames>
    <sheetDataSet>
      <sheetData sheetId="0" refreshError="1">
        <row r="16">
          <cell r="H16" t="str">
            <v>US (NASD) 30/360</v>
          </cell>
        </row>
        <row r="17">
          <cell r="H17" t="str">
            <v>Actual/Actual</v>
          </cell>
        </row>
        <row r="18">
          <cell r="H18" t="str">
            <v>Actual/360</v>
          </cell>
        </row>
        <row r="19">
          <cell r="H19" t="str">
            <v>Actual/365</v>
          </cell>
        </row>
        <row r="20">
          <cell r="H20" t="str">
            <v>European 30/360</v>
          </cell>
        </row>
        <row r="25">
          <cell r="H25" t="b">
            <v>1</v>
          </cell>
        </row>
        <row r="26">
          <cell r="H26" t="b">
            <v>0</v>
          </cell>
        </row>
      </sheetData>
      <sheetData sheetId="1" refreshError="1">
        <row r="11">
          <cell r="C11">
            <v>43563</v>
          </cell>
        </row>
      </sheetData>
      <sheetData sheetId="2" refreshError="1">
        <row r="6">
          <cell r="C6">
            <v>43636</v>
          </cell>
        </row>
        <row r="9">
          <cell r="E9" t="str">
            <v>3M</v>
          </cell>
          <cell r="F9" t="str">
            <v>6M</v>
          </cell>
          <cell r="G9" t="str">
            <v>1Y</v>
          </cell>
          <cell r="H9" t="str">
            <v>2Y</v>
          </cell>
          <cell r="I9" t="str">
            <v>3Y</v>
          </cell>
          <cell r="J9" t="str">
            <v>4Y</v>
          </cell>
          <cell r="K9" t="str">
            <v>5Y</v>
          </cell>
          <cell r="L9" t="str">
            <v>7Y</v>
          </cell>
          <cell r="M9" t="str">
            <v>10Y</v>
          </cell>
        </row>
        <row r="11">
          <cell r="D11" t="str">
            <v>EUR</v>
          </cell>
          <cell r="N11" t="str">
            <v/>
          </cell>
          <cell r="O11">
            <v>1.5639376191282084E-3</v>
          </cell>
          <cell r="P11">
            <v>4.0526021023299386E-3</v>
          </cell>
          <cell r="Q11">
            <v>9.6425643792422688E-3</v>
          </cell>
          <cell r="R11">
            <v>1.7106947461375754E-2</v>
          </cell>
          <cell r="S11" t="str">
            <v/>
          </cell>
          <cell r="T11">
            <v>3.5238278398387113E-2</v>
          </cell>
          <cell r="U11">
            <v>5.3394585163264452E-2</v>
          </cell>
          <cell r="V11">
            <v>8.1990955061536974E-2</v>
          </cell>
          <cell r="W11" t="str">
            <v/>
          </cell>
          <cell r="X11">
            <v>1.6814212966349551E-3</v>
          </cell>
          <cell r="Y11">
            <v>4.2536485665237711E-3</v>
          </cell>
          <cell r="Z11">
            <v>1.01232231964129E-2</v>
          </cell>
          <cell r="AA11">
            <v>1.7955422425637746E-2</v>
          </cell>
          <cell r="AB11" t="str">
            <v/>
          </cell>
          <cell r="AC11">
            <v>3.6974393997123989E-2</v>
          </cell>
          <cell r="AD11">
            <v>5.6000406759761256E-2</v>
          </cell>
          <cell r="AE11">
            <v>8.5938335356395723E-2</v>
          </cell>
        </row>
        <row r="12">
          <cell r="D12" t="str">
            <v>EUR</v>
          </cell>
          <cell r="N12" t="str">
            <v/>
          </cell>
          <cell r="O12">
            <v>9.4100633706173387E-4</v>
          </cell>
          <cell r="P12">
            <v>2.228284751959464E-3</v>
          </cell>
          <cell r="Q12">
            <v>5.9639435030418575E-3</v>
          </cell>
          <cell r="R12">
            <v>1.2569096459324469E-2</v>
          </cell>
          <cell r="S12" t="str">
            <v/>
          </cell>
          <cell r="T12">
            <v>3.2230673549960009E-2</v>
          </cell>
          <cell r="U12">
            <v>5.3132562507917758E-2</v>
          </cell>
          <cell r="V12">
            <v>9.3172742526791419E-2</v>
          </cell>
          <cell r="W12" t="str">
            <v/>
          </cell>
          <cell r="X12">
            <v>1.0585674487949559E-3</v>
          </cell>
          <cell r="Y12">
            <v>2.4296489701292057E-3</v>
          </cell>
          <cell r="Z12">
            <v>6.3315368536315253E-3</v>
          </cell>
          <cell r="AA12">
            <v>1.3185108428036885E-2</v>
          </cell>
          <cell r="AB12" t="str">
            <v/>
          </cell>
          <cell r="AC12">
            <v>3.3817903070479827E-2</v>
          </cell>
          <cell r="AD12">
            <v>5.5722730143630494E-2</v>
          </cell>
          <cell r="AE12">
            <v>9.7660002994953365E-2</v>
          </cell>
        </row>
        <row r="13">
          <cell r="D13" t="str">
            <v>EUR</v>
          </cell>
          <cell r="N13" t="str">
            <v/>
          </cell>
          <cell r="O13">
            <v>7.0583742388907744E-4</v>
          </cell>
          <cell r="P13">
            <v>2.0304567700080156E-3</v>
          </cell>
          <cell r="Q13">
            <v>6.7391246623260681E-3</v>
          </cell>
          <cell r="R13">
            <v>1.4794385971696467E-2</v>
          </cell>
          <cell r="S13" t="str">
            <v/>
          </cell>
          <cell r="T13">
            <v>3.5716665736367115E-2</v>
          </cell>
          <cell r="U13">
            <v>6.3208699467098395E-2</v>
          </cell>
          <cell r="V13">
            <v>0.10820435355782332</v>
          </cell>
          <cell r="W13" t="str">
            <v/>
          </cell>
          <cell r="X13">
            <v>8.2342719960870614E-4</v>
          </cell>
          <cell r="Y13">
            <v>2.2318745001562723E-3</v>
          </cell>
          <cell r="Z13">
            <v>7.1065788038230382E-3</v>
          </cell>
          <cell r="AA13">
            <v>1.5522087675874041E-2</v>
          </cell>
          <cell r="AB13" t="str">
            <v/>
          </cell>
          <cell r="AC13">
            <v>3.747079792266006E-2</v>
          </cell>
          <cell r="AD13">
            <v>6.6286832132582907E-2</v>
          </cell>
          <cell r="AE13">
            <v>0.11337775693919061</v>
          </cell>
        </row>
        <row r="14">
          <cell r="D14" t="str">
            <v>EUR</v>
          </cell>
          <cell r="N14" t="str">
            <v/>
          </cell>
          <cell r="O14">
            <v>1.4816858337847183E-3</v>
          </cell>
          <cell r="P14">
            <v>3.584320117853701E-3</v>
          </cell>
          <cell r="Q14">
            <v>8.9177451639731453E-3</v>
          </cell>
          <cell r="R14">
            <v>1.5766880570418973E-2</v>
          </cell>
          <cell r="S14" t="str">
            <v/>
          </cell>
          <cell r="T14">
            <v>3.3586872644830734E-2</v>
          </cell>
          <cell r="U14">
            <v>5.1907613002356467E-2</v>
          </cell>
          <cell r="V14">
            <v>7.8707926653956539E-2</v>
          </cell>
          <cell r="W14" t="str">
            <v/>
          </cell>
          <cell r="X14">
            <v>1.5991798639143351E-3</v>
          </cell>
          <cell r="Y14">
            <v>3.7854391165837997E-3</v>
          </cell>
          <cell r="Z14">
            <v>9.3604601351430228E-3</v>
          </cell>
          <cell r="AA14">
            <v>1.6548053443376842E-2</v>
          </cell>
          <cell r="AB14" t="str">
            <v/>
          </cell>
          <cell r="AC14">
            <v>3.5241256859172898E-2</v>
          </cell>
          <cell r="AD14">
            <v>5.4442658950080602E-2</v>
          </cell>
          <cell r="AE14">
            <v>8.2500837596500398E-2</v>
          </cell>
        </row>
        <row r="15">
          <cell r="D15" t="str">
            <v>EUR</v>
          </cell>
          <cell r="N15" t="str">
            <v/>
          </cell>
          <cell r="O15">
            <v>5.8823230557913941E-4</v>
          </cell>
          <cell r="P15">
            <v>1.2136782726757112E-3</v>
          </cell>
          <cell r="Q15">
            <v>4.1211426005131058E-3</v>
          </cell>
          <cell r="R15">
            <v>8.2069072352251027E-3</v>
          </cell>
          <cell r="S15" t="str">
            <v/>
          </cell>
          <cell r="T15">
            <v>2.2552212957030027E-2</v>
          </cell>
          <cell r="U15">
            <v>4.0079475431500367E-2</v>
          </cell>
          <cell r="V15">
            <v>6.9331311406127027E-2</v>
          </cell>
          <cell r="W15" t="str">
            <v/>
          </cell>
          <cell r="X15">
            <v>7.0583630213449933E-4</v>
          </cell>
          <cell r="Y15">
            <v>1.4152199353631989E-3</v>
          </cell>
          <cell r="Z15">
            <v>4.4894063052328681E-3</v>
          </cell>
          <cell r="AA15">
            <v>8.7404860384591165E-3</v>
          </cell>
          <cell r="AB15" t="str">
            <v/>
          </cell>
          <cell r="AC15">
            <v>2.3643156502229257E-2</v>
          </cell>
          <cell r="AD15">
            <v>4.2029725773224502E-2</v>
          </cell>
          <cell r="AE15">
            <v>7.2652699708143031E-2</v>
          </cell>
        </row>
        <row r="16">
          <cell r="D16" t="str">
            <v>EUR</v>
          </cell>
          <cell r="N16" t="str">
            <v/>
          </cell>
          <cell r="O16">
            <v>1.4464330047678775E-3</v>
          </cell>
          <cell r="P16">
            <v>3.2167770518466421E-3</v>
          </cell>
          <cell r="Q16">
            <v>8.2204718764988804E-3</v>
          </cell>
          <cell r="R16">
            <v>1.3627494922296757E-2</v>
          </cell>
          <cell r="S16" t="str">
            <v/>
          </cell>
          <cell r="T16">
            <v>2.8276663938974655E-2</v>
          </cell>
          <cell r="U16">
            <v>4.4355381780164627E-2</v>
          </cell>
          <cell r="V16">
            <v>7.1021389579442928E-2</v>
          </cell>
          <cell r="W16" t="str">
            <v/>
          </cell>
          <cell r="X16">
            <v>1.5639314599198428E-3</v>
          </cell>
          <cell r="Y16">
            <v>3.4179499387164691E-3</v>
          </cell>
          <cell r="Z16">
            <v>8.6272212858831132E-3</v>
          </cell>
          <cell r="AA16">
            <v>1.4302159638263756E-2</v>
          </cell>
          <cell r="AB16" t="str">
            <v/>
          </cell>
          <cell r="AC16">
            <v>2.9670788475398835E-2</v>
          </cell>
          <cell r="AD16">
            <v>4.6527841207411491E-2</v>
          </cell>
          <cell r="AE16">
            <v>7.4459119526914863E-2</v>
          </cell>
        </row>
        <row r="17">
          <cell r="D17" t="str">
            <v>EUR</v>
          </cell>
          <cell r="N17" t="str">
            <v/>
          </cell>
          <cell r="O17">
            <v>5.8823230557913941E-4</v>
          </cell>
          <cell r="P17">
            <v>2.8534032246134711E-3</v>
          </cell>
          <cell r="Q17">
            <v>8.9609786632356414E-3</v>
          </cell>
          <cell r="R17">
            <v>1.913181641022077E-2</v>
          </cell>
          <cell r="S17" t="str">
            <v/>
          </cell>
          <cell r="T17">
            <v>5.0892347632382151E-2</v>
          </cell>
          <cell r="U17">
            <v>8.5872930875140252E-2</v>
          </cell>
          <cell r="V17">
            <v>0.14629965793337629</v>
          </cell>
          <cell r="W17" t="str">
            <v/>
          </cell>
          <cell r="X17">
            <v>7.0583630213449933E-4</v>
          </cell>
          <cell r="Y17">
            <v>3.054722216919048E-3</v>
          </cell>
          <cell r="Z17">
            <v>9.4041172430280318E-3</v>
          </cell>
          <cell r="AA17">
            <v>2.0077120180788555E-2</v>
          </cell>
          <cell r="AB17" t="str">
            <v/>
          </cell>
          <cell r="AC17">
            <v>5.3386940922055093E-2</v>
          </cell>
          <cell r="AD17">
            <v>9.002312433188997E-2</v>
          </cell>
          <cell r="AE17">
            <v>0.1531888203487205</v>
          </cell>
        </row>
        <row r="18">
          <cell r="D18" t="str">
            <v>EUR</v>
          </cell>
          <cell r="N18" t="str">
            <v/>
          </cell>
          <cell r="O18">
            <v>1.5286876794723403E-3</v>
          </cell>
          <cell r="P18">
            <v>2.8248725841196753E-3</v>
          </cell>
          <cell r="Q18">
            <v>9.716967170259605E-3</v>
          </cell>
          <cell r="R18">
            <v>1.7928999263620793E-2</v>
          </cell>
          <cell r="S18" t="str">
            <v/>
          </cell>
          <cell r="T18">
            <v>4.6425505213876894E-2</v>
          </cell>
          <cell r="U18">
            <v>8.1249338887171341E-2</v>
          </cell>
          <cell r="V18">
            <v>0.13627854725386113</v>
          </cell>
          <cell r="W18" t="str">
            <v/>
          </cell>
          <cell r="X18">
            <v>1.6461757985832826E-3</v>
          </cell>
          <cell r="Y18">
            <v>3.0260890010609387E-3</v>
          </cell>
          <cell r="Z18">
            <v>1.0196975522922869E-2</v>
          </cell>
          <cell r="AA18">
            <v>1.8816304446065746E-2</v>
          </cell>
          <cell r="AB18" t="str">
            <v/>
          </cell>
          <cell r="AC18">
            <v>4.8703171261545442E-2</v>
          </cell>
          <cell r="AD18">
            <v>8.5185820310333171E-2</v>
          </cell>
          <cell r="AE18">
            <v>0.14271820541571145</v>
          </cell>
        </row>
        <row r="19">
          <cell r="D19" t="str">
            <v>EUR</v>
          </cell>
          <cell r="N19" t="str">
            <v/>
          </cell>
          <cell r="O19">
            <v>3.5298073341860636E-4</v>
          </cell>
          <cell r="P19">
            <v>1.2208539223919068E-3</v>
          </cell>
          <cell r="Q19">
            <v>4.123935497890252E-3</v>
          </cell>
          <cell r="R19">
            <v>8.7783663323022232E-3</v>
          </cell>
          <cell r="S19" t="str">
            <v/>
          </cell>
          <cell r="T19">
            <v>2.0604178510189142E-2</v>
          </cell>
          <cell r="U19">
            <v>3.4865337027082943E-2</v>
          </cell>
          <cell r="V19">
            <v>6.6344521035236248E-2</v>
          </cell>
          <cell r="W19" t="str">
            <v/>
          </cell>
          <cell r="X19">
            <v>4.7061295331773945E-4</v>
          </cell>
          <cell r="Y19">
            <v>1.4224213278153375E-3</v>
          </cell>
          <cell r="Z19">
            <v>4.4922097838737685E-3</v>
          </cell>
          <cell r="AA19">
            <v>9.3117786043441786E-3</v>
          </cell>
          <cell r="AB19" t="str">
            <v/>
          </cell>
          <cell r="AC19">
            <v>2.1603671283013548E-2</v>
          </cell>
          <cell r="AD19">
            <v>3.6562116279202028E-2</v>
          </cell>
          <cell r="AE19">
            <v>6.9557274202168395E-2</v>
          </cell>
        </row>
        <row r="20">
          <cell r="D20" t="str">
            <v>EUR</v>
          </cell>
          <cell r="N20" t="str">
            <v/>
          </cell>
          <cell r="O20">
            <v>1.3994273063662188E-3</v>
          </cell>
          <cell r="P20">
            <v>2.8904321844521741E-3</v>
          </cell>
          <cell r="Q20">
            <v>7.100026329779574E-3</v>
          </cell>
          <cell r="R20">
            <v>1.2579891298190815E-2</v>
          </cell>
          <cell r="S20" t="str">
            <v/>
          </cell>
          <cell r="T20">
            <v>2.7507090377209331E-2</v>
          </cell>
          <cell r="U20">
            <v>4.3000298665031411E-2</v>
          </cell>
          <cell r="V20">
            <v>6.7535031634661569E-2</v>
          </cell>
          <cell r="W20" t="str">
            <v/>
          </cell>
          <cell r="X20">
            <v>1.5169316504912711E-3</v>
          </cell>
          <cell r="Y20">
            <v>3.0916544221913922E-3</v>
          </cell>
          <cell r="Z20">
            <v>7.4671868450216783E-3</v>
          </cell>
          <cell r="AA20">
            <v>1.3201270400565512E-2</v>
          </cell>
          <cell r="AB20" t="str">
            <v/>
          </cell>
          <cell r="AC20">
            <v>2.886253388555382E-2</v>
          </cell>
          <cell r="AD20">
            <v>4.5106457123454402E-2</v>
          </cell>
          <cell r="AE20">
            <v>7.0807276637600558E-2</v>
          </cell>
        </row>
        <row r="21">
          <cell r="D21" t="str">
            <v>EUR</v>
          </cell>
          <cell r="N21" t="str">
            <v/>
          </cell>
          <cell r="O21">
            <v>1.4699350283743362E-3</v>
          </cell>
          <cell r="P21">
            <v>3.2979810442269608E-3</v>
          </cell>
          <cell r="Q21">
            <v>8.4052696578684749E-3</v>
          </cell>
          <cell r="R21">
            <v>1.4288968594326379E-2</v>
          </cell>
          <cell r="S21" t="str">
            <v/>
          </cell>
          <cell r="T21">
            <v>3.0062671725761825E-2</v>
          </cell>
          <cell r="U21">
            <v>4.7018942404155273E-2</v>
          </cell>
          <cell r="V21">
            <v>7.4245797311850215E-2</v>
          </cell>
          <cell r="W21" t="str">
            <v/>
          </cell>
          <cell r="X21">
            <v>1.5874305343255291E-3</v>
          </cell>
          <cell r="Y21">
            <v>3.4991402731774368E-3</v>
          </cell>
          <cell r="Z21">
            <v>8.8214671580415516E-3</v>
          </cell>
          <cell r="AA21">
            <v>1.4996531294378279E-2</v>
          </cell>
          <cell r="AB21" t="str">
            <v/>
          </cell>
          <cell r="AC21">
            <v>3.154425554045992E-2</v>
          </cell>
          <cell r="AD21">
            <v>4.9319658217518825E-2</v>
          </cell>
          <cell r="AE21">
            <v>7.7833938035195671E-2</v>
          </cell>
        </row>
        <row r="22">
          <cell r="D22" t="str">
            <v>EUR</v>
          </cell>
          <cell r="N22" t="str">
            <v/>
          </cell>
          <cell r="O22">
            <v>1.2348900220263692E-3</v>
          </cell>
          <cell r="P22">
            <v>4.1647156251154449E-3</v>
          </cell>
          <cell r="Q22">
            <v>1.1587819939738453E-2</v>
          </cell>
          <cell r="R22">
            <v>1.9976629544339097E-2</v>
          </cell>
          <cell r="S22" t="str">
            <v/>
          </cell>
          <cell r="T22">
            <v>3.9518814591197882E-2</v>
          </cell>
          <cell r="U22">
            <v>6.1186619650882568E-2</v>
          </cell>
          <cell r="V22">
            <v>9.4450703671174807E-2</v>
          </cell>
          <cell r="W22" t="str">
            <v/>
          </cell>
          <cell r="X22">
            <v>1.3524148790723389E-3</v>
          </cell>
          <cell r="Y22">
            <v>4.3708973359244396E-3</v>
          </cell>
          <cell r="Z22">
            <v>1.2163766129696496E-2</v>
          </cell>
          <cell r="AA22">
            <v>2.0965888930840282E-2</v>
          </cell>
          <cell r="AB22" t="str">
            <v/>
          </cell>
          <cell r="AC22">
            <v>4.1462313974853005E-2</v>
          </cell>
          <cell r="AD22">
            <v>6.4162866914371564E-2</v>
          </cell>
          <cell r="AE22">
            <v>9.8974370952264246E-2</v>
          </cell>
        </row>
        <row r="23">
          <cell r="D23" t="str">
            <v>EUR</v>
          </cell>
          <cell r="N23" t="str">
            <v/>
          </cell>
          <cell r="O23">
            <v>1.8106525310161992E-3</v>
          </cell>
          <cell r="P23">
            <v>4.7815604474717999E-3</v>
          </cell>
          <cell r="Q23">
            <v>1.1412182151562811E-2</v>
          </cell>
          <cell r="R23">
            <v>1.8204651365238966E-2</v>
          </cell>
          <cell r="S23" t="str">
            <v/>
          </cell>
          <cell r="T23">
            <v>3.5037006539825111E-2</v>
          </cell>
          <cell r="U23">
            <v>5.3185763377253448E-2</v>
          </cell>
          <cell r="V23">
            <v>8.5780686786718796E-2</v>
          </cell>
          <cell r="W23" t="str">
            <v/>
          </cell>
          <cell r="X23">
            <v>1.9281049158355046E-3</v>
          </cell>
          <cell r="Y23">
            <v>5.0192835649431888E-3</v>
          </cell>
          <cell r="Z23">
            <v>1.1980148097215371E-2</v>
          </cell>
          <cell r="AA23">
            <v>1.9106754928880809E-2</v>
          </cell>
          <cell r="AB23" t="str">
            <v/>
          </cell>
          <cell r="AC23">
            <v>3.6761329381372887E-2</v>
          </cell>
          <cell r="AD23">
            <v>5.5779879489309847E-2</v>
          </cell>
          <cell r="AE23">
            <v>8.9908481498503057E-2</v>
          </cell>
        </row>
        <row r="24">
          <cell r="D24" t="str">
            <v>EUR</v>
          </cell>
          <cell r="N24" t="str">
            <v/>
          </cell>
          <cell r="O24">
            <v>5.8823230557913941E-4</v>
          </cell>
          <cell r="P24">
            <v>1.2136782726757112E-3</v>
          </cell>
          <cell r="Q24">
            <v>2.9787866515398331E-3</v>
          </cell>
          <cell r="R24">
            <v>6.5743902366108831E-3</v>
          </cell>
          <cell r="S24" t="str">
            <v/>
          </cell>
          <cell r="T24">
            <v>1.7099793757952231E-2</v>
          </cell>
          <cell r="U24">
            <v>3.0093908530758218E-2</v>
          </cell>
          <cell r="V24">
            <v>5.5745983365923735E-2</v>
          </cell>
          <cell r="W24" t="str">
            <v/>
          </cell>
          <cell r="X24">
            <v>7.0583630213449933E-4</v>
          </cell>
          <cell r="Y24">
            <v>1.4152199353631989E-3</v>
          </cell>
          <cell r="Z24">
            <v>3.3473306858188279E-3</v>
          </cell>
          <cell r="AA24">
            <v>7.1087339174695785E-3</v>
          </cell>
          <cell r="AB24" t="str">
            <v/>
          </cell>
          <cell r="AC24">
            <v>1.7960614747763559E-2</v>
          </cell>
          <cell r="AD24">
            <v>3.1543851545928758E-2</v>
          </cell>
          <cell r="AE24">
            <v>5.8435258801426415E-2</v>
          </cell>
        </row>
        <row r="25">
          <cell r="D25" t="str">
            <v>EUR</v>
          </cell>
          <cell r="N25" t="str">
            <v/>
          </cell>
          <cell r="O25">
            <v>3.5298073341860636E-4</v>
          </cell>
          <cell r="P25">
            <v>1.8360018497242114E-3</v>
          </cell>
          <cell r="Q25">
            <v>5.6064173684181595E-3</v>
          </cell>
          <cell r="R25">
            <v>1.0928916837393277E-2</v>
          </cell>
          <cell r="S25" t="str">
            <v/>
          </cell>
          <cell r="T25">
            <v>2.9680474419323755E-2</v>
          </cell>
          <cell r="U25">
            <v>5.0983411548791824E-2</v>
          </cell>
          <cell r="V25">
            <v>9.2141321886150429E-2</v>
          </cell>
          <cell r="W25" t="str">
            <v/>
          </cell>
          <cell r="X25">
            <v>4.7061295331773945E-4</v>
          </cell>
          <cell r="Y25">
            <v>2.0374857662349699E-3</v>
          </cell>
          <cell r="Z25">
            <v>5.97420595109599E-3</v>
          </cell>
          <cell r="AA25">
            <v>1.1461242476734745E-2</v>
          </cell>
          <cell r="AB25" t="str">
            <v/>
          </cell>
          <cell r="AC25">
            <v>3.1140559457224604E-2</v>
          </cell>
          <cell r="AD25">
            <v>5.3472871373774988E-2</v>
          </cell>
          <cell r="AE25">
            <v>9.6586242828172519E-2</v>
          </cell>
        </row>
        <row r="26">
          <cell r="D26" t="str">
            <v>EUR</v>
          </cell>
          <cell r="N26" t="str">
            <v/>
          </cell>
          <cell r="O26">
            <v>7.0583742388907744E-4</v>
          </cell>
          <cell r="P26">
            <v>1.2108584765612163E-3</v>
          </cell>
          <cell r="Q26">
            <v>4.11804756661871E-3</v>
          </cell>
          <cell r="R26">
            <v>8.2030992906927391E-3</v>
          </cell>
          <cell r="S26" t="str">
            <v/>
          </cell>
          <cell r="T26">
            <v>2.2547246710555524E-2</v>
          </cell>
          <cell r="U26">
            <v>4.141510604943377E-2</v>
          </cell>
          <cell r="V26">
            <v>7.7092987261884183E-2</v>
          </cell>
          <cell r="W26" t="str">
            <v/>
          </cell>
          <cell r="X26">
            <v>8.2342719960870614E-4</v>
          </cell>
          <cell r="Y26">
            <v>1.4123961831609133E-3</v>
          </cell>
          <cell r="Z26">
            <v>4.4863062361032435E-3</v>
          </cell>
          <cell r="AA26">
            <v>8.7366692247563549E-3</v>
          </cell>
          <cell r="AB26" t="str">
            <v/>
          </cell>
          <cell r="AC26">
            <v>2.3637946445606905E-2</v>
          </cell>
          <cell r="AD26">
            <v>4.3431782888732506E-2</v>
          </cell>
          <cell r="AE26">
            <v>8.0810321048824463E-2</v>
          </cell>
        </row>
        <row r="27">
          <cell r="D27" t="str">
            <v>EUR</v>
          </cell>
          <cell r="N27" t="str">
            <v/>
          </cell>
          <cell r="O27">
            <v>1.3289146304011901E-3</v>
          </cell>
          <cell r="P27">
            <v>3.7117946786874301E-3</v>
          </cell>
          <cell r="Q27">
            <v>9.7813037289248284E-3</v>
          </cell>
          <cell r="R27">
            <v>1.5659634790897936E-2</v>
          </cell>
          <cell r="S27" t="str">
            <v/>
          </cell>
          <cell r="T27">
            <v>2.8921429757158279E-2</v>
          </cell>
          <cell r="U27">
            <v>4.4288282950943891E-2</v>
          </cell>
          <cell r="V27">
            <v>7.059013058699759E-2</v>
          </cell>
          <cell r="W27" t="str">
            <v/>
          </cell>
          <cell r="X27">
            <v>1.4464277844392637E-3</v>
          </cell>
          <cell r="Y27">
            <v>3.9129136768183415E-3</v>
          </cell>
          <cell r="Z27">
            <v>1.0267690092424786E-2</v>
          </cell>
          <cell r="AA27">
            <v>1.6435033578250935E-2</v>
          </cell>
          <cell r="AB27" t="str">
            <v/>
          </cell>
          <cell r="AC27">
            <v>3.0346242695156733E-2</v>
          </cell>
          <cell r="AD27">
            <v>4.6456510935826034E-2</v>
          </cell>
          <cell r="AE27">
            <v>7.400777798710656E-2</v>
          </cell>
        </row>
        <row r="28">
          <cell r="D28" t="str">
            <v>EUR</v>
          </cell>
          <cell r="N28" t="str">
            <v/>
          </cell>
          <cell r="O28">
            <v>8.2342876691621214E-4</v>
          </cell>
          <cell r="P28">
            <v>1.6167208634250141E-3</v>
          </cell>
          <cell r="Q28">
            <v>5.2377459952359651E-3</v>
          </cell>
          <cell r="R28">
            <v>1.0381058673023635E-2</v>
          </cell>
          <cell r="S28" t="str">
            <v/>
          </cell>
          <cell r="T28">
            <v>2.7880014926948249E-2</v>
          </cell>
          <cell r="U28">
            <v>4.8590011486137064E-2</v>
          </cell>
          <cell r="V28">
            <v>9.4878748097881771E-2</v>
          </cell>
          <cell r="W28" t="str">
            <v/>
          </cell>
          <cell r="X28">
            <v>9.4100424795140469E-4</v>
          </cell>
          <cell r="Y28">
            <v>1.8181813004158887E-3</v>
          </cell>
          <cell r="Z28">
            <v>5.6056443391415689E-3</v>
          </cell>
          <cell r="AA28">
            <v>1.0913625366104962E-2</v>
          </cell>
          <cell r="AB28" t="str">
            <v/>
          </cell>
          <cell r="AC28">
            <v>2.9245871021287173E-2</v>
          </cell>
          <cell r="AD28">
            <v>5.096220272549945E-2</v>
          </cell>
          <cell r="AE28">
            <v>9.9454515226909512E-2</v>
          </cell>
        </row>
        <row r="29">
          <cell r="D29" t="str">
            <v>EUR</v>
          </cell>
          <cell r="N29" t="str">
            <v/>
          </cell>
          <cell r="O29">
            <v>5.8823230557913941E-4</v>
          </cell>
          <cell r="P29">
            <v>1.6239484894734479E-3</v>
          </cell>
          <cell r="Q29">
            <v>4.4791277113699346E-3</v>
          </cell>
          <cell r="R29">
            <v>8.7367484251980043E-3</v>
          </cell>
          <cell r="S29" t="str">
            <v/>
          </cell>
          <cell r="T29">
            <v>2.3401570611768396E-2</v>
          </cell>
          <cell r="U29">
            <v>3.9864059245481198E-2</v>
          </cell>
          <cell r="V29">
            <v>6.3140467760286034E-2</v>
          </cell>
          <cell r="W29" t="str">
            <v/>
          </cell>
          <cell r="X29">
            <v>7.0583630213449933E-4</v>
          </cell>
          <cell r="Y29">
            <v>1.8254344543299217E-3</v>
          </cell>
          <cell r="Z29">
            <v>4.8472226288700515E-3</v>
          </cell>
          <cell r="AA29">
            <v>9.2700260187572603E-3</v>
          </cell>
          <cell r="AB29" t="str">
            <v/>
          </cell>
          <cell r="AC29">
            <v>2.4539497451869008E-2</v>
          </cell>
          <cell r="AD29">
            <v>4.1805444290906935E-2</v>
          </cell>
          <cell r="AE29">
            <v>6.6192567349111053E-2</v>
          </cell>
        </row>
        <row r="30">
          <cell r="D30" t="str">
            <v>EUR</v>
          </cell>
          <cell r="N30" t="str">
            <v/>
          </cell>
          <cell r="O30">
            <v>7.5287561400072534E-4</v>
          </cell>
          <cell r="P30">
            <v>2.3979495799548722E-3</v>
          </cell>
          <cell r="Q30">
            <v>6.1792416835568797E-3</v>
          </cell>
          <cell r="R30">
            <v>1.1483718003105214E-2</v>
          </cell>
          <cell r="S30" t="str">
            <v/>
          </cell>
          <cell r="T30">
            <v>2.6743660297700478E-2</v>
          </cell>
          <cell r="U30">
            <v>4.4503998390133637E-2</v>
          </cell>
          <cell r="V30">
            <v>6.5473048748914242E-2</v>
          </cell>
          <cell r="W30" t="str">
            <v/>
          </cell>
          <cell r="X30">
            <v>8.7045968073762303E-4</v>
          </cell>
          <cell r="Y30">
            <v>2.5993125419682128E-3</v>
          </cell>
          <cell r="Z30">
            <v>6.5467583805853824E-3</v>
          </cell>
          <cell r="AA30">
            <v>1.2046579316037143E-2</v>
          </cell>
          <cell r="AB30" t="str">
            <v/>
          </cell>
          <cell r="AC30">
            <v>2.8062011137155118E-2</v>
          </cell>
          <cell r="AD30">
            <v>4.6680649048028267E-2</v>
          </cell>
          <cell r="AE30">
            <v>6.8646856036845727E-2</v>
          </cell>
        </row>
        <row r="31">
          <cell r="D31" t="str">
            <v>EUR</v>
          </cell>
          <cell r="N31" t="str">
            <v/>
          </cell>
          <cell r="O31">
            <v>1.2936564344949719E-3</v>
          </cell>
          <cell r="P31">
            <v>3.2419657329573193E-3</v>
          </cell>
          <cell r="Q31">
            <v>7.7990145600658201E-3</v>
          </cell>
          <cell r="R31">
            <v>1.634972251787592E-2</v>
          </cell>
          <cell r="S31" t="str">
            <v/>
          </cell>
          <cell r="T31">
            <v>3.4468063630986756E-2</v>
          </cell>
          <cell r="U31">
            <v>5.6397405620010277E-2</v>
          </cell>
          <cell r="V31">
            <v>9.9424300658692122E-2</v>
          </cell>
          <cell r="W31" t="str">
            <v/>
          </cell>
          <cell r="X31">
            <v>1.4111739830211523E-3</v>
          </cell>
          <cell r="Y31">
            <v>3.4431523976948819E-3</v>
          </cell>
          <cell r="Z31">
            <v>8.1849938817835088E-3</v>
          </cell>
          <cell r="AA31">
            <v>1.7158853032845478E-2</v>
          </cell>
          <cell r="AB31" t="str">
            <v/>
          </cell>
          <cell r="AC31">
            <v>3.6163813269820322E-2</v>
          </cell>
          <cell r="AD31">
            <v>5.9149639719770941E-2</v>
          </cell>
          <cell r="AE31">
            <v>0.10419566547303949</v>
          </cell>
        </row>
        <row r="32">
          <cell r="D32" t="str">
            <v>EUR</v>
          </cell>
          <cell r="N32" t="str">
            <v/>
          </cell>
          <cell r="O32">
            <v>9.1749192474521735E-4</v>
          </cell>
          <cell r="P32">
            <v>2.7822713845637725E-3</v>
          </cell>
          <cell r="Q32">
            <v>8.5922517872727422E-3</v>
          </cell>
          <cell r="R32">
            <v>1.4650445511066201E-2</v>
          </cell>
          <cell r="S32" t="str">
            <v/>
          </cell>
          <cell r="T32">
            <v>2.9125003200833333E-2</v>
          </cell>
          <cell r="U32">
            <v>4.513761559546825E-2</v>
          </cell>
          <cell r="V32">
            <v>6.8678595273497955E-2</v>
          </cell>
          <cell r="W32" t="str">
            <v/>
          </cell>
          <cell r="X32">
            <v>1.0350559163603279E-3</v>
          </cell>
          <cell r="Y32">
            <v>2.9835632932604383E-3</v>
          </cell>
          <cell r="Z32">
            <v>9.0162165190794674E-3</v>
          </cell>
          <cell r="AA32">
            <v>1.53743952308113E-2</v>
          </cell>
          <cell r="AB32" t="str">
            <v/>
          </cell>
          <cell r="AC32">
            <v>3.055892619833378E-2</v>
          </cell>
          <cell r="AD32">
            <v>4.7345920722389523E-2</v>
          </cell>
          <cell r="AE32">
            <v>7.1999271772797635E-2</v>
          </cell>
        </row>
        <row r="33">
          <cell r="D33" t="str">
            <v>EUR</v>
          </cell>
          <cell r="N33" t="str">
            <v/>
          </cell>
          <cell r="O33">
            <v>5.8823230557913941E-4</v>
          </cell>
          <cell r="P33">
            <v>1.8289988054900341E-3</v>
          </cell>
          <cell r="Q33">
            <v>5.9905821050399988E-3</v>
          </cell>
          <cell r="R33">
            <v>1.3157466858802369E-2</v>
          </cell>
          <cell r="S33" t="str">
            <v/>
          </cell>
          <cell r="T33">
            <v>3.2185792733684382E-2</v>
          </cell>
          <cell r="U33">
            <v>5.7168049843522084E-2</v>
          </cell>
          <cell r="V33">
            <v>0.1021163662568072</v>
          </cell>
          <cell r="W33" t="str">
            <v/>
          </cell>
          <cell r="X33">
            <v>7.0583630213449933E-4</v>
          </cell>
          <cell r="Y33">
            <v>2.0304569294128383E-3</v>
          </cell>
          <cell r="Z33">
            <v>6.3582656908192092E-3</v>
          </cell>
          <cell r="AA33">
            <v>1.3801554021832474E-2</v>
          </cell>
          <cell r="AB33" t="str">
            <v/>
          </cell>
          <cell r="AC33">
            <v>3.3788054278094837E-2</v>
          </cell>
          <cell r="AD33">
            <v>5.9954007789057018E-2</v>
          </cell>
          <cell r="AE33">
            <v>0.10702222659933647</v>
          </cell>
        </row>
        <row r="34">
          <cell r="D34" t="str">
            <v>EUR</v>
          </cell>
          <cell r="N34" t="str">
            <v/>
          </cell>
          <cell r="O34">
            <v>1.3524194061996786E-3</v>
          </cell>
          <cell r="P34">
            <v>3.6701481797429825E-3</v>
          </cell>
          <cell r="Q34">
            <v>1.0432744395999949E-2</v>
          </cell>
          <cell r="R34">
            <v>1.8995315771529242E-2</v>
          </cell>
          <cell r="S34" t="str">
            <v/>
          </cell>
          <cell r="T34">
            <v>4.0620578708481236E-2</v>
          </cell>
          <cell r="U34">
            <v>6.3201332464938309E-2</v>
          </cell>
          <cell r="V34">
            <v>9.7145057233841925E-2</v>
          </cell>
          <cell r="W34" t="str">
            <v/>
          </cell>
          <cell r="X34">
            <v>1.469929626734201E-3</v>
          </cell>
          <cell r="Y34">
            <v>3.8712697541007923E-3</v>
          </cell>
          <cell r="Z34">
            <v>1.0951161564709655E-2</v>
          </cell>
          <cell r="AA34">
            <v>1.9935790208543525E-2</v>
          </cell>
          <cell r="AB34" t="str">
            <v/>
          </cell>
          <cell r="AC34">
            <v>4.2617000633239588E-2</v>
          </cell>
          <cell r="AD34">
            <v>6.6273770411026556E-2</v>
          </cell>
          <cell r="AE34">
            <v>0.10178972388410457</v>
          </cell>
        </row>
        <row r="35">
          <cell r="D35" t="str">
            <v>EUR</v>
          </cell>
          <cell r="N35" t="str">
            <v/>
          </cell>
          <cell r="O35">
            <v>5.8823230557913941E-4</v>
          </cell>
          <cell r="P35">
            <v>1.4188416515668045E-3</v>
          </cell>
          <cell r="Q35">
            <v>4.1104573390305932E-3</v>
          </cell>
          <cell r="R35">
            <v>8.7650818374521711E-3</v>
          </cell>
          <cell r="S35" t="str">
            <v/>
          </cell>
          <cell r="T35">
            <v>2.0583078376538055E-2</v>
          </cell>
          <cell r="U35">
            <v>3.6205653292685658E-2</v>
          </cell>
          <cell r="V35">
            <v>6.6038478227618991E-2</v>
          </cell>
          <cell r="W35" t="str">
            <v/>
          </cell>
          <cell r="X35">
            <v>7.0583630213449933E-4</v>
          </cell>
          <cell r="Y35">
            <v>1.6203554628971828E-3</v>
          </cell>
          <cell r="Z35">
            <v>4.4786833056158493E-3</v>
          </cell>
          <cell r="AA35">
            <v>9.2984532235906858E-3</v>
          </cell>
          <cell r="AB35" t="str">
            <v/>
          </cell>
          <cell r="AC35">
            <v>2.1582662708471312E-2</v>
          </cell>
          <cell r="AD35">
            <v>3.7968843122891727E-2</v>
          </cell>
          <cell r="AE35">
            <v>6.9234528803700846E-2</v>
          </cell>
        </row>
        <row r="36">
          <cell r="D36" t="str">
            <v>EUR</v>
          </cell>
          <cell r="N36" t="str">
            <v/>
          </cell>
          <cell r="O36">
            <v>1.0585701367545886E-3</v>
          </cell>
          <cell r="P36">
            <v>4.4765011050097447E-3</v>
          </cell>
          <cell r="Q36">
            <v>1.2293398507305597E-2</v>
          </cell>
          <cell r="R36">
            <v>2.4455150137394521E-2</v>
          </cell>
          <cell r="S36" t="str">
            <v/>
          </cell>
          <cell r="T36">
            <v>6.0180594554914202E-2</v>
          </cell>
          <cell r="U36">
            <v>0.10220030686087744</v>
          </cell>
          <cell r="V36">
            <v>0.17136069655264063</v>
          </cell>
          <cell r="W36" t="str">
            <v/>
          </cell>
          <cell r="X36">
            <v>1.1761168038567638E-3</v>
          </cell>
          <cell r="Y36">
            <v>4.6979849531030293E-3</v>
          </cell>
          <cell r="Z36">
            <v>1.2904160972644907E-2</v>
          </cell>
          <cell r="AA36">
            <v>2.5666103114801886E-2</v>
          </cell>
          <cell r="AB36" t="str">
            <v/>
          </cell>
          <cell r="AC36">
            <v>6.3123621570422617E-2</v>
          </cell>
          <cell r="AD36">
            <v>0.10710800724958536</v>
          </cell>
          <cell r="AE36">
            <v>0.17933942469367448</v>
          </cell>
        </row>
        <row r="37">
          <cell r="D37" t="str">
            <v>EUR</v>
          </cell>
          <cell r="N37" t="str">
            <v/>
          </cell>
          <cell r="O37">
            <v>5.8823230557913941E-4</v>
          </cell>
          <cell r="P37">
            <v>1.2136782726757112E-3</v>
          </cell>
          <cell r="Q37">
            <v>4.5015416184586154E-3</v>
          </cell>
          <cell r="R37">
            <v>8.7493051440935554E-3</v>
          </cell>
          <cell r="S37" t="str">
            <v/>
          </cell>
          <cell r="T37">
            <v>2.0610088901978907E-2</v>
          </cell>
          <cell r="U37">
            <v>3.3473665368464078E-2</v>
          </cell>
          <cell r="V37">
            <v>5.8604457265159837E-2</v>
          </cell>
          <cell r="W37" t="str">
            <v/>
          </cell>
          <cell r="X37">
            <v>7.0583630213449933E-4</v>
          </cell>
          <cell r="Y37">
            <v>1.4152199353631989E-3</v>
          </cell>
          <cell r="Z37">
            <v>4.8697119408149803E-3</v>
          </cell>
          <cell r="AA37">
            <v>9.282629509412943E-3</v>
          </cell>
          <cell r="AB37" t="str">
            <v/>
          </cell>
          <cell r="AC37">
            <v>2.1608500916757478E-2</v>
          </cell>
          <cell r="AD37">
            <v>3.5103491726639513E-2</v>
          </cell>
          <cell r="AE37">
            <v>6.1441391875898477E-2</v>
          </cell>
        </row>
        <row r="38">
          <cell r="D38" t="str">
            <v>EUR</v>
          </cell>
          <cell r="N38" t="str">
            <v/>
          </cell>
          <cell r="O38">
            <v>1.1761201684514777E-3</v>
          </cell>
          <cell r="P38">
            <v>2.6309721823427612E-3</v>
          </cell>
          <cell r="Q38">
            <v>8.5998532326374555E-3</v>
          </cell>
          <cell r="R38">
            <v>1.8589098221264533E-2</v>
          </cell>
          <cell r="S38" t="str">
            <v/>
          </cell>
          <cell r="T38">
            <v>4.5404190741026529E-2</v>
          </cell>
          <cell r="U38">
            <v>8.0084933348924525E-2</v>
          </cell>
          <cell r="V38">
            <v>0.13055492676188907</v>
          </cell>
          <cell r="W38" t="str">
            <v/>
          </cell>
          <cell r="X38">
            <v>1.293652314683702E-3</v>
          </cell>
          <cell r="Y38">
            <v>2.8322549756158999E-3</v>
          </cell>
          <cell r="Z38">
            <v>9.0236456786928487E-3</v>
          </cell>
          <cell r="AA38">
            <v>1.9496922671881634E-2</v>
          </cell>
          <cell r="AB38" t="str">
            <v/>
          </cell>
          <cell r="AC38">
            <v>4.7629144305646687E-2</v>
          </cell>
          <cell r="AD38">
            <v>8.3966955003944244E-2</v>
          </cell>
          <cell r="AE38">
            <v>0.1367307172362584</v>
          </cell>
        </row>
        <row r="39">
          <cell r="D39" t="str">
            <v>EUR</v>
          </cell>
          <cell r="N39" t="str">
            <v/>
          </cell>
          <cell r="O39">
            <v>2.24519315793692E-3</v>
          </cell>
          <cell r="P39">
            <v>4.3997388513687952E-3</v>
          </cell>
          <cell r="Q39">
            <v>1.0799433008717219E-2</v>
          </cell>
          <cell r="R39">
            <v>1.8805201182836684E-2</v>
          </cell>
          <cell r="S39" t="str">
            <v/>
          </cell>
          <cell r="T39">
            <v>3.7784926967585175E-2</v>
          </cell>
          <cell r="U39">
            <v>5.7500501725248121E-2</v>
          </cell>
          <cell r="V39">
            <v>8.6612653123948613E-2</v>
          </cell>
          <cell r="W39" t="str">
            <v/>
          </cell>
          <cell r="X39">
            <v>2.3625895332998192E-3</v>
          </cell>
          <cell r="Y39">
            <v>4.6190814530473467E-3</v>
          </cell>
          <cell r="Z39">
            <v>1.1336810562699529E-2</v>
          </cell>
          <cell r="AA39">
            <v>1.9737725748657287E-2</v>
          </cell>
          <cell r="AB39" t="str">
            <v/>
          </cell>
          <cell r="AC39">
            <v>3.9643747002788943E-2</v>
          </cell>
          <cell r="AD39">
            <v>6.0301949004120226E-2</v>
          </cell>
          <cell r="AE39">
            <v>9.0769823544266548E-2</v>
          </cell>
        </row>
        <row r="40">
          <cell r="D40" t="str">
            <v>EUR</v>
          </cell>
          <cell r="N40" t="str">
            <v/>
          </cell>
          <cell r="O40">
            <v>4.7061340958476361E-4</v>
          </cell>
          <cell r="P40">
            <v>1.4224212190881991E-3</v>
          </cell>
          <cell r="Q40">
            <v>4.4922095327908362E-3</v>
          </cell>
          <cell r="R40">
            <v>1.0439784850016953E-2</v>
          </cell>
          <cell r="S40" t="str">
            <v/>
          </cell>
          <cell r="T40">
            <v>2.5083489617726329E-2</v>
          </cell>
          <cell r="U40">
            <v>4.494226673872781E-2</v>
          </cell>
          <cell r="V40">
            <v>7.7751351024654802E-2</v>
          </cell>
          <cell r="W40" t="str">
            <v/>
          </cell>
          <cell r="X40">
            <v>5.8823155392451199E-4</v>
          </cell>
          <cell r="Y40">
            <v>1.6239482287041529E-3</v>
          </cell>
          <cell r="Z40">
            <v>4.8603470128968373E-3</v>
          </cell>
          <cell r="AA40">
            <v>1.0972542465652046E-2</v>
          </cell>
          <cell r="AB40" t="str">
            <v/>
          </cell>
          <cell r="AC40">
            <v>2.6313505829569817E-2</v>
          </cell>
          <cell r="AD40">
            <v>4.7138589260877994E-2</v>
          </cell>
          <cell r="AE40">
            <v>8.1513011542288849E-2</v>
          </cell>
        </row>
        <row r="41">
          <cell r="D41" t="str">
            <v>EUR</v>
          </cell>
          <cell r="N41" t="str">
            <v/>
          </cell>
          <cell r="O41">
            <v>1.0585701367545886E-3</v>
          </cell>
          <cell r="P41">
            <v>3.6584369447157927E-3</v>
          </cell>
          <cell r="Q41">
            <v>1.3094076279633882E-2</v>
          </cell>
          <cell r="R41">
            <v>2.2199900427662067E-2</v>
          </cell>
          <cell r="S41" t="str">
            <v/>
          </cell>
          <cell r="T41">
            <v>5.2274792970804174E-2</v>
          </cell>
          <cell r="U41">
            <v>8.7760447334585434E-2</v>
          </cell>
          <cell r="V41">
            <v>0.14517359591962664</v>
          </cell>
          <cell r="W41" t="str">
            <v/>
          </cell>
          <cell r="X41">
            <v>1.1761168038567638E-3</v>
          </cell>
          <cell r="Y41">
            <v>3.8595942604000566E-3</v>
          </cell>
          <cell r="Z41">
            <v>1.3744736474248453E-2</v>
          </cell>
          <cell r="AA41">
            <v>2.3295666824855177E-2</v>
          </cell>
          <cell r="AB41" t="str">
            <v/>
          </cell>
          <cell r="AC41">
            <v>5.4836285664417894E-2</v>
          </cell>
          <cell r="AD41">
            <v>9.1995584631936245E-2</v>
          </cell>
          <cell r="AE41">
            <v>0.15200214712283455</v>
          </cell>
        </row>
        <row r="42">
          <cell r="D42" t="str">
            <v>EUR</v>
          </cell>
          <cell r="N42" t="str">
            <v/>
          </cell>
          <cell r="O42">
            <v>3.8827198331981005E-4</v>
          </cell>
          <cell r="P42">
            <v>1.8554589371482244E-3</v>
          </cell>
          <cell r="Q42">
            <v>6.1401003298200418E-3</v>
          </cell>
          <cell r="R42">
            <v>1.1913415806219296E-2</v>
          </cell>
          <cell r="S42" t="str">
            <v/>
          </cell>
          <cell r="T42">
            <v>2.6743204782313956E-2</v>
          </cell>
          <cell r="U42">
            <v>4.2487965361904245E-2</v>
          </cell>
          <cell r="V42">
            <v>6.5887616025787077E-2</v>
          </cell>
          <cell r="W42" t="str">
            <v/>
          </cell>
          <cell r="X42">
            <v>5.058999881245585E-4</v>
          </cell>
          <cell r="Y42">
            <v>2.0569365819519403E-3</v>
          </cell>
          <cell r="Z42">
            <v>6.5077522351598693E-3</v>
          </cell>
          <cell r="AA42">
            <v>1.2496016087531592E-2</v>
          </cell>
          <cell r="AB42" t="str">
            <v/>
          </cell>
          <cell r="AC42">
            <v>2.8058432170045666E-2</v>
          </cell>
          <cell r="AD42">
            <v>4.4564381867312819E-2</v>
          </cell>
          <cell r="AE42">
            <v>6.9080336738494341E-2</v>
          </cell>
        </row>
        <row r="43">
          <cell r="D43" t="str">
            <v>EUR</v>
          </cell>
          <cell r="N43" t="str">
            <v/>
          </cell>
          <cell r="O43">
            <v>9.7627692276858191E-4</v>
          </cell>
          <cell r="P43">
            <v>3.5789943257183987E-3</v>
          </cell>
          <cell r="Q43">
            <v>1.0546563968439338E-2</v>
          </cell>
          <cell r="R43">
            <v>1.9059025660346673E-2</v>
          </cell>
          <cell r="S43" t="str">
            <v/>
          </cell>
          <cell r="T43">
            <v>4.2482145724178855E-2</v>
          </cell>
          <cell r="U43">
            <v>6.4295218840913604E-2</v>
          </cell>
          <cell r="V43">
            <v>9.68386449330364E-2</v>
          </cell>
          <cell r="W43" t="str">
            <v/>
          </cell>
          <cell r="X43">
            <v>1.0938337090613537E-3</v>
          </cell>
          <cell r="Y43">
            <v>3.7801711243370395E-3</v>
          </cell>
          <cell r="Z43">
            <v>1.1071112895901014E-2</v>
          </cell>
          <cell r="AA43">
            <v>2.0002084143024401E-2</v>
          </cell>
          <cell r="AB43" t="str">
            <v/>
          </cell>
          <cell r="AC43">
            <v>4.4568937220610394E-2</v>
          </cell>
          <cell r="AD43">
            <v>6.7418645628377627E-2</v>
          </cell>
          <cell r="AE43">
            <v>0.10146690562273109</v>
          </cell>
        </row>
        <row r="44">
          <cell r="D44" t="str">
            <v>EUR</v>
          </cell>
          <cell r="N44" t="str">
            <v/>
          </cell>
          <cell r="O44">
            <v>1.4111789373691952E-3</v>
          </cell>
          <cell r="P44">
            <v>2.8285845959358236E-3</v>
          </cell>
          <cell r="Q44">
            <v>6.6851811094795766E-3</v>
          </cell>
          <cell r="R44">
            <v>1.2492661922517967E-2</v>
          </cell>
          <cell r="S44" t="str">
            <v/>
          </cell>
          <cell r="T44">
            <v>2.3771729443184397E-2</v>
          </cell>
          <cell r="U44">
            <v>4.0692473817563135E-2</v>
          </cell>
          <cell r="V44">
            <v>7.218324771076523E-2</v>
          </cell>
          <cell r="W44" t="str">
            <v/>
          </cell>
          <cell r="X44">
            <v>1.5286818104438549E-3</v>
          </cell>
          <cell r="Y44">
            <v>3.029814015234944E-3</v>
          </cell>
          <cell r="Z44">
            <v>7.052454994905144E-3</v>
          </cell>
          <cell r="AA44">
            <v>1.310846542031463E-2</v>
          </cell>
          <cell r="AB44" t="str">
            <v/>
          </cell>
          <cell r="AC44">
            <v>2.4943165614515372E-2</v>
          </cell>
          <cell r="AD44">
            <v>4.2688005970319187E-2</v>
          </cell>
          <cell r="AE44">
            <v>7.5685274844176975E-2</v>
          </cell>
        </row>
        <row r="45">
          <cell r="D45" t="str">
            <v>EUR</v>
          </cell>
          <cell r="N45" t="str">
            <v/>
          </cell>
          <cell r="O45">
            <v>4.7061340958476361E-4</v>
          </cell>
          <cell r="P45">
            <v>1.8325206103344538E-3</v>
          </cell>
          <cell r="Q45">
            <v>5.2267332050037751E-3</v>
          </cell>
          <cell r="R45">
            <v>9.819022376512887E-3</v>
          </cell>
          <cell r="S45" t="str">
            <v/>
          </cell>
          <cell r="T45">
            <v>2.4191060911671003E-2</v>
          </cell>
          <cell r="U45">
            <v>4.2354420733060838E-2</v>
          </cell>
          <cell r="V45">
            <v>7.2430216599879804E-2</v>
          </cell>
          <cell r="W45" t="str">
            <v/>
          </cell>
          <cell r="X45">
            <v>5.8823155392451199E-4</v>
          </cell>
          <cell r="Y45">
            <v>2.0339921687133611E-3</v>
          </cell>
          <cell r="Z45">
            <v>5.594609537902473E-3</v>
          </cell>
          <cell r="AA45">
            <v>1.0351777232896042E-2</v>
          </cell>
          <cell r="AB45" t="str">
            <v/>
          </cell>
          <cell r="AC45">
            <v>2.5375058048162979E-2</v>
          </cell>
          <cell r="AD45">
            <v>4.4422119677380745E-2</v>
          </cell>
          <cell r="AE45">
            <v>7.5935265006450758E-2</v>
          </cell>
        </row>
        <row r="46">
          <cell r="D46" t="str">
            <v>EUR</v>
          </cell>
          <cell r="N46" t="str">
            <v/>
          </cell>
          <cell r="O46">
            <v>2.1747398951207364E-3</v>
          </cell>
          <cell r="P46">
            <v>4.1767989776523295E-3</v>
          </cell>
          <cell r="Q46">
            <v>1.0433735662038979E-2</v>
          </cell>
          <cell r="R46">
            <v>1.7600298522391422E-2</v>
          </cell>
          <cell r="S46" t="str">
            <v/>
          </cell>
          <cell r="T46">
            <v>3.6086366698584671E-2</v>
          </cell>
          <cell r="U46">
            <v>5.5840719444435472E-2</v>
          </cell>
          <cell r="V46">
            <v>8.5312814576500973E-2</v>
          </cell>
          <cell r="W46" t="str">
            <v/>
          </cell>
          <cell r="X46">
            <v>2.2921454301566557E-3</v>
          </cell>
          <cell r="Y46">
            <v>4.3849240758833119E-3</v>
          </cell>
          <cell r="Z46">
            <v>1.0952913528134101E-2</v>
          </cell>
          <cell r="AA46">
            <v>1.8473118099054386E-2</v>
          </cell>
          <cell r="AB46" t="str">
            <v/>
          </cell>
          <cell r="AC46">
            <v>3.7862120060957682E-2</v>
          </cell>
          <cell r="AD46">
            <v>5.858634593618739E-2</v>
          </cell>
          <cell r="AE46">
            <v>8.9408608581944216E-2</v>
          </cell>
        </row>
        <row r="47">
          <cell r="D47" t="str">
            <v>EUR</v>
          </cell>
          <cell r="N47" t="str">
            <v/>
          </cell>
          <cell r="O47">
            <v>5.8823230557913941E-4</v>
          </cell>
          <cell r="P47">
            <v>1.4188416515668045E-3</v>
          </cell>
          <cell r="Q47">
            <v>4.1104573390305932E-3</v>
          </cell>
          <cell r="R47">
            <v>8.2004739960540585E-3</v>
          </cell>
          <cell r="S47" t="str">
            <v/>
          </cell>
          <cell r="T47">
            <v>2.1604803722366839E-2</v>
          </cell>
          <cell r="U47">
            <v>3.8829384378924914E-2</v>
          </cell>
          <cell r="V47">
            <v>7.1603135987629019E-2</v>
          </cell>
          <cell r="W47" t="str">
            <v/>
          </cell>
          <cell r="X47">
            <v>7.0583630213449933E-4</v>
          </cell>
          <cell r="Y47">
            <v>1.6203554628971828E-3</v>
          </cell>
          <cell r="Z47">
            <v>4.4786833056158493E-3</v>
          </cell>
          <cell r="AA47">
            <v>8.734029213848804E-3</v>
          </cell>
          <cell r="AB47" t="str">
            <v/>
          </cell>
          <cell r="AC47">
            <v>2.2650270344072854E-2</v>
          </cell>
          <cell r="AD47">
            <v>4.0719683763051573E-2</v>
          </cell>
          <cell r="AE47">
            <v>7.5062850058797315E-2</v>
          </cell>
        </row>
        <row r="48">
          <cell r="D48" t="str">
            <v>EUR</v>
          </cell>
          <cell r="N48" t="str">
            <v/>
          </cell>
          <cell r="O48">
            <v>1.2936564344949719E-3</v>
          </cell>
          <cell r="P48">
            <v>3.2419657329573193E-3</v>
          </cell>
          <cell r="Q48">
            <v>7.4177263808794525E-3</v>
          </cell>
          <cell r="R48">
            <v>1.5245045550931202E-2</v>
          </cell>
          <cell r="S48" t="str">
            <v/>
          </cell>
          <cell r="T48">
            <v>3.460989176827034E-2</v>
          </cell>
          <cell r="U48">
            <v>5.6479424568010583E-2</v>
          </cell>
          <cell r="V48">
            <v>9.7636050186695522E-2</v>
          </cell>
          <cell r="W48" t="str">
            <v/>
          </cell>
          <cell r="X48">
            <v>1.4111739830211523E-3</v>
          </cell>
          <cell r="Y48">
            <v>3.4431523976948819E-3</v>
          </cell>
          <cell r="Z48">
            <v>7.78474444864663E-3</v>
          </cell>
          <cell r="AA48">
            <v>1.5999449974483659E-2</v>
          </cell>
          <cell r="AB48" t="str">
            <v/>
          </cell>
          <cell r="AC48">
            <v>3.6313585072826782E-2</v>
          </cell>
          <cell r="AD48">
            <v>5.9235632755419543E-2</v>
          </cell>
          <cell r="AE48">
            <v>0.10232384305766984</v>
          </cell>
        </row>
        <row r="49">
          <cell r="D49" t="str">
            <v>EUR</v>
          </cell>
          <cell r="N49" t="str">
            <v/>
          </cell>
          <cell r="O49">
            <v>8.2342876691621214E-4</v>
          </cell>
          <cell r="P49">
            <v>1.8218285837172665E-3</v>
          </cell>
          <cell r="Q49">
            <v>4.8467731924392021E-3</v>
          </cell>
          <cell r="R49">
            <v>9.8315375064832455E-3</v>
          </cell>
          <cell r="S49" t="str">
            <v/>
          </cell>
          <cell r="T49">
            <v>2.6064599916965747E-2</v>
          </cell>
          <cell r="U49">
            <v>4.481346221736604E-2</v>
          </cell>
          <cell r="V49">
            <v>7.783749086492886E-2</v>
          </cell>
          <cell r="W49" t="str">
            <v/>
          </cell>
          <cell r="X49">
            <v>9.4100424795140469E-4</v>
          </cell>
          <cell r="Y49">
            <v>2.0232613221308204E-3</v>
          </cell>
          <cell r="Z49">
            <v>5.2147267725027868E-3</v>
          </cell>
          <cell r="AA49">
            <v>1.0364335105939815E-2</v>
          </cell>
          <cell r="AB49" t="str">
            <v/>
          </cell>
          <cell r="AC49">
            <v>2.7341362892103649E-2</v>
          </cell>
          <cell r="AD49">
            <v>4.6998045361279273E-2</v>
          </cell>
          <cell r="AE49">
            <v>8.1600106941085659E-2</v>
          </cell>
        </row>
        <row r="50">
          <cell r="D50" t="str">
            <v>EUR</v>
          </cell>
          <cell r="N50" t="str">
            <v/>
          </cell>
          <cell r="O50">
            <v>1.4111789373691952E-3</v>
          </cell>
          <cell r="P50">
            <v>4.8751696354448759E-3</v>
          </cell>
          <cell r="Q50">
            <v>1.4159192050532177E-2</v>
          </cell>
          <cell r="R50">
            <v>2.9356492083043917E-2</v>
          </cell>
          <cell r="S50" t="str">
            <v/>
          </cell>
          <cell r="T50">
            <v>7.0486266261249764E-2</v>
          </cell>
          <cell r="U50">
            <v>0.11574984066228156</v>
          </cell>
          <cell r="V50">
            <v>0.18722311104196221</v>
          </cell>
          <cell r="W50" t="str">
            <v/>
          </cell>
          <cell r="X50">
            <v>1.5286818104438549E-3</v>
          </cell>
          <cell r="Y50">
            <v>5.1169906939083631E-3</v>
          </cell>
          <cell r="Z50">
            <v>1.4862625066904611E-2</v>
          </cell>
          <cell r="AA50">
            <v>3.0808082413036564E-2</v>
          </cell>
          <cell r="AB50" t="str">
            <v/>
          </cell>
          <cell r="AC50">
            <v>7.391889374715388E-2</v>
          </cell>
          <cell r="AD50">
            <v>0.12127151391863378</v>
          </cell>
          <cell r="AE50">
            <v>0.19585018701143997</v>
          </cell>
        </row>
        <row r="51">
          <cell r="D51" t="str">
            <v>EUR</v>
          </cell>
          <cell r="N51" t="str">
            <v/>
          </cell>
          <cell r="O51">
            <v>7.0583742388907744E-4</v>
          </cell>
          <cell r="P51">
            <v>1.4152198693172524E-3</v>
          </cell>
          <cell r="Q51">
            <v>4.4894063326089695E-3</v>
          </cell>
          <cell r="R51">
            <v>9.8706094274730871E-3</v>
          </cell>
          <cell r="S51" t="str">
            <v/>
          </cell>
          <cell r="T51">
            <v>2.5154733686432174E-2</v>
          </cell>
          <cell r="U51">
            <v>4.3635267708081793E-2</v>
          </cell>
          <cell r="V51">
            <v>7.815301965448318E-2</v>
          </cell>
          <cell r="W51" t="str">
            <v/>
          </cell>
          <cell r="X51">
            <v>8.2342719960870614E-4</v>
          </cell>
          <cell r="Y51">
            <v>1.6167209125957926E-3</v>
          </cell>
          <cell r="Z51">
            <v>4.8575339699230557E-3</v>
          </cell>
          <cell r="AA51">
            <v>1.040353298454888E-2</v>
          </cell>
          <cell r="AB51" t="str">
            <v/>
          </cell>
          <cell r="AC51">
            <v>2.638577341576942E-2</v>
          </cell>
          <cell r="AD51">
            <v>4.5762685136851777E-2</v>
          </cell>
          <cell r="AE51">
            <v>8.192964486089882E-2</v>
          </cell>
        </row>
        <row r="52">
          <cell r="D52" t="str">
            <v>EUR</v>
          </cell>
          <cell r="N52" t="str">
            <v/>
          </cell>
          <cell r="O52">
            <v>8.2342876691621214E-4</v>
          </cell>
          <cell r="P52">
            <v>1.6167208634250141E-3</v>
          </cell>
          <cell r="Q52">
            <v>4.0965300833587515E-3</v>
          </cell>
          <cell r="R52">
            <v>9.3158294452674317E-3</v>
          </cell>
          <cell r="S52" t="str">
            <v/>
          </cell>
          <cell r="T52">
            <v>2.5190071933670177E-2</v>
          </cell>
          <cell r="U52">
            <v>4.5031603338221982E-2</v>
          </cell>
          <cell r="V52">
            <v>7.9926118650817668E-2</v>
          </cell>
          <cell r="W52" t="str">
            <v/>
          </cell>
          <cell r="X52">
            <v>9.4100424795140469E-4</v>
          </cell>
          <cell r="Y52">
            <v>1.8181813004158887E-3</v>
          </cell>
          <cell r="Z52">
            <v>4.4647082467120791E-3</v>
          </cell>
          <cell r="AA52">
            <v>9.8489754735843205E-3</v>
          </cell>
          <cell r="AB52" t="str">
            <v/>
          </cell>
          <cell r="AC52">
            <v>2.6422570908529952E-2</v>
          </cell>
          <cell r="AD52">
            <v>4.7225801021429481E-2</v>
          </cell>
          <cell r="AE52">
            <v>8.3785826679433018E-2</v>
          </cell>
        </row>
        <row r="53">
          <cell r="D53" t="str">
            <v>EUR</v>
          </cell>
          <cell r="N53" t="str">
            <v/>
          </cell>
          <cell r="O53">
            <v>4.7061340958476361E-4</v>
          </cell>
          <cell r="P53">
            <v>1.2172867430008116E-3</v>
          </cell>
          <cell r="Q53">
            <v>3.7420953470101992E-3</v>
          </cell>
          <cell r="R53">
            <v>7.6666318397365929E-3</v>
          </cell>
          <cell r="S53" t="str">
            <v/>
          </cell>
          <cell r="T53">
            <v>1.8863608454825598E-2</v>
          </cell>
          <cell r="U53">
            <v>2.9745692718493699E-2</v>
          </cell>
          <cell r="V53">
            <v>5.152202074451917E-2</v>
          </cell>
          <cell r="W53" t="str">
            <v/>
          </cell>
          <cell r="X53">
            <v>5.8823155392451199E-4</v>
          </cell>
          <cell r="Y53">
            <v>1.4188414855879072E-3</v>
          </cell>
          <cell r="Z53">
            <v>4.1104575327085557E-3</v>
          </cell>
          <cell r="AA53">
            <v>8.200474057898588E-3</v>
          </cell>
          <cell r="AB53" t="str">
            <v/>
          </cell>
          <cell r="AC53">
            <v>1.9770115486853368E-2</v>
          </cell>
          <cell r="AD53">
            <v>3.1188945862053896E-2</v>
          </cell>
          <cell r="AE53">
            <v>5.4012015127105295E-2</v>
          </cell>
        </row>
        <row r="54">
          <cell r="D54" t="str">
            <v>EUR</v>
          </cell>
          <cell r="N54" t="str">
            <v/>
          </cell>
          <cell r="O54">
            <v>7.0583742388907744E-4</v>
          </cell>
          <cell r="P54">
            <v>2.2354227158818407E-3</v>
          </cell>
          <cell r="Q54">
            <v>6.7252789095330057E-3</v>
          </cell>
          <cell r="R54">
            <v>1.3659796889292863E-2</v>
          </cell>
          <cell r="S54" t="str">
            <v/>
          </cell>
          <cell r="T54">
            <v>3.0235807558503525E-2</v>
          </cell>
          <cell r="U54">
            <v>5.1933406855471542E-2</v>
          </cell>
          <cell r="V54">
            <v>8.73379290601769E-2</v>
          </cell>
          <cell r="W54" t="str">
            <v/>
          </cell>
          <cell r="X54">
            <v>8.2342719960870614E-4</v>
          </cell>
          <cell r="Y54">
            <v>2.4368126847228444E-3</v>
          </cell>
          <cell r="Z54">
            <v>7.0926962245758673E-3</v>
          </cell>
          <cell r="AA54">
            <v>1.433157124992368E-2</v>
          </cell>
          <cell r="AB54" t="str">
            <v/>
          </cell>
          <cell r="AC54">
            <v>3.1722452718901062E-2</v>
          </cell>
          <cell r="AD54">
            <v>5.447001703983545E-2</v>
          </cell>
          <cell r="AE54">
            <v>9.1544392539487318E-2</v>
          </cell>
        </row>
        <row r="55">
          <cell r="D55" t="str">
            <v>EUR</v>
          </cell>
          <cell r="N55" t="str">
            <v/>
          </cell>
          <cell r="O55">
            <v>7.0583742388907744E-4</v>
          </cell>
          <cell r="P55">
            <v>2.8499817577419817E-3</v>
          </cell>
          <cell r="Q55">
            <v>7.8189240868918874E-3</v>
          </cell>
          <cell r="R55">
            <v>1.4696787477016304E-2</v>
          </cell>
          <cell r="S55" t="str">
            <v/>
          </cell>
          <cell r="T55">
            <v>3.1921393842674117E-2</v>
          </cell>
          <cell r="U55">
            <v>5.4223994977966594E-2</v>
          </cell>
          <cell r="V55">
            <v>9.048941558431467E-2</v>
          </cell>
          <cell r="W55" t="str">
            <v/>
          </cell>
          <cell r="X55">
            <v>8.2342719960870614E-4</v>
          </cell>
          <cell r="Y55">
            <v>3.0512884736265677E-3</v>
          </cell>
          <cell r="Z55">
            <v>8.2050573545081606E-3</v>
          </cell>
          <cell r="AA55">
            <v>1.5422839962618951E-2</v>
          </cell>
          <cell r="AB55" t="str">
            <v/>
          </cell>
          <cell r="AC55">
            <v>3.3492019189597655E-2</v>
          </cell>
          <cell r="AD55">
            <v>5.6872126519064481E-2</v>
          </cell>
          <cell r="AE55">
            <v>9.48413665611193E-2</v>
          </cell>
        </row>
        <row r="56">
          <cell r="D56" t="str">
            <v>EUR</v>
          </cell>
          <cell r="N56" t="str">
            <v/>
          </cell>
          <cell r="O56">
            <v>5.8823230557913941E-4</v>
          </cell>
          <cell r="P56">
            <v>1.6239484894734479E-3</v>
          </cell>
          <cell r="Q56">
            <v>5.2413729864030367E-3</v>
          </cell>
          <cell r="R56">
            <v>1.2079900237925822E-2</v>
          </cell>
          <cell r="S56" t="str">
            <v/>
          </cell>
          <cell r="T56">
            <v>3.1402817312322528E-2</v>
          </cell>
          <cell r="U56">
            <v>5.3377747925267838E-2</v>
          </cell>
          <cell r="V56">
            <v>9.329321101929744E-2</v>
          </cell>
          <cell r="W56" t="str">
            <v/>
          </cell>
          <cell r="X56">
            <v>7.0583630213449933E-4</v>
          </cell>
          <cell r="Y56">
            <v>1.8254344543299217E-3</v>
          </cell>
          <cell r="Z56">
            <v>5.6092809464522997E-3</v>
          </cell>
          <cell r="AA56">
            <v>1.2668247651419384E-2</v>
          </cell>
          <cell r="AB56" t="str">
            <v/>
          </cell>
          <cell r="AC56">
            <v>3.2949487310384606E-2</v>
          </cell>
          <cell r="AD56">
            <v>5.5978945786590351E-2</v>
          </cell>
          <cell r="AE56">
            <v>9.7780722169312217E-2</v>
          </cell>
        </row>
        <row r="57">
          <cell r="D57" t="str">
            <v>EUR</v>
          </cell>
          <cell r="N57" t="str">
            <v/>
          </cell>
          <cell r="O57">
            <v>1.4111789373691952E-3</v>
          </cell>
          <cell r="P57">
            <v>3.4431525528769713E-3</v>
          </cell>
          <cell r="Q57">
            <v>1.0449032536976599E-2</v>
          </cell>
          <cell r="R57">
            <v>1.8999814037624074E-2</v>
          </cell>
          <cell r="S57" t="str">
            <v/>
          </cell>
          <cell r="T57">
            <v>3.9709005219032423E-2</v>
          </cell>
          <cell r="U57">
            <v>6.3346468853093585E-2</v>
          </cell>
          <cell r="V57">
            <v>0.10707149788298254</v>
          </cell>
          <cell r="W57" t="str">
            <v/>
          </cell>
          <cell r="X57">
            <v>1.5286818104438549E-3</v>
          </cell>
          <cell r="Y57">
            <v>3.6442988133077447E-3</v>
          </cell>
          <cell r="Z57">
            <v>1.0967183165382255E-2</v>
          </cell>
          <cell r="AA57">
            <v>1.9940099735572203E-2</v>
          </cell>
          <cell r="AB57" t="str">
            <v/>
          </cell>
          <cell r="AC57">
            <v>4.1659749120524281E-2</v>
          </cell>
          <cell r="AD57">
            <v>6.6427452002481679E-2</v>
          </cell>
          <cell r="AE57">
            <v>0.11218628176922074</v>
          </cell>
        </row>
        <row r="58">
          <cell r="D58" t="str">
            <v>EUR</v>
          </cell>
          <cell r="N58" t="str">
            <v/>
          </cell>
          <cell r="O58">
            <v>9.4100633706173387E-4</v>
          </cell>
          <cell r="P58">
            <v>2.6381622423573559E-3</v>
          </cell>
          <cell r="Q58">
            <v>8.6023536257356925E-3</v>
          </cell>
          <cell r="R58">
            <v>1.5780676454810294E-2</v>
          </cell>
          <cell r="S58" t="str">
            <v/>
          </cell>
          <cell r="T58">
            <v>3.3671733100789525E-2</v>
          </cell>
          <cell r="U58">
            <v>5.5216876932850933E-2</v>
          </cell>
          <cell r="V58">
            <v>9.5998167845032678E-2</v>
          </cell>
          <cell r="W58" t="str">
            <v/>
          </cell>
          <cell r="X58">
            <v>1.0585674487949559E-3</v>
          </cell>
          <cell r="Y58">
            <v>2.8394709859616007E-3</v>
          </cell>
          <cell r="Z58">
            <v>9.0262781767683764E-3</v>
          </cell>
          <cell r="AA58">
            <v>1.6560570740987712E-2</v>
          </cell>
          <cell r="AB58" t="str">
            <v/>
          </cell>
          <cell r="AC58">
            <v>3.5327621603871706E-2</v>
          </cell>
          <cell r="AD58">
            <v>5.7911278843384317E-2</v>
          </cell>
          <cell r="AE58">
            <v>0.10060775128713106</v>
          </cell>
        </row>
        <row r="59">
          <cell r="D59" t="str">
            <v>EUR</v>
          </cell>
          <cell r="N59" t="str">
            <v/>
          </cell>
          <cell r="O59">
            <v>7.0583742388907744E-4</v>
          </cell>
          <cell r="P59">
            <v>1.8254343260272199E-3</v>
          </cell>
          <cell r="Q59">
            <v>4.8472226218999603E-3</v>
          </cell>
          <cell r="R59">
            <v>9.270025871779386E-3</v>
          </cell>
          <cell r="S59" t="str">
            <v/>
          </cell>
          <cell r="T59">
            <v>1.9550479393187881E-2</v>
          </cell>
          <cell r="U59">
            <v>3.2164656108149225E-2</v>
          </cell>
          <cell r="V59">
            <v>5.6711247902592077E-2</v>
          </cell>
          <cell r="W59" t="str">
            <v/>
          </cell>
          <cell r="X59">
            <v>8.2342719960870614E-4</v>
          </cell>
          <cell r="Y59">
            <v>2.0268798220722806E-3</v>
          </cell>
          <cell r="Z59">
            <v>5.2151817618720786E-3</v>
          </cell>
          <cell r="AA59">
            <v>9.8030166328254564E-3</v>
          </cell>
          <cell r="AB59" t="str">
            <v/>
          </cell>
          <cell r="AC59">
            <v>2.0503026419437687E-2</v>
          </cell>
          <cell r="AD59">
            <v>3.373401002880716E-2</v>
          </cell>
          <cell r="AE59">
            <v>5.9464803306415348E-2</v>
          </cell>
        </row>
        <row r="60">
          <cell r="D60" t="str">
            <v>EUR</v>
          </cell>
          <cell r="N60" t="str">
            <v/>
          </cell>
          <cell r="O60">
            <v>9.4100633706173387E-4</v>
          </cell>
          <cell r="P60">
            <v>2.228284751959464E-3</v>
          </cell>
          <cell r="Q60">
            <v>5.9639435030418575E-3</v>
          </cell>
          <cell r="R60">
            <v>9.7498149812619284E-3</v>
          </cell>
          <cell r="S60" t="str">
            <v/>
          </cell>
          <cell r="T60">
            <v>2.1334232226911998E-2</v>
          </cell>
          <cell r="U60">
            <v>3.4514796901735978E-2</v>
          </cell>
          <cell r="V60">
            <v>6.2125556807420712E-2</v>
          </cell>
          <cell r="W60" t="str">
            <v/>
          </cell>
          <cell r="X60">
            <v>1.0585674487949559E-3</v>
          </cell>
          <cell r="Y60">
            <v>2.4296489701292057E-3</v>
          </cell>
          <cell r="Z60">
            <v>6.3315368536315253E-3</v>
          </cell>
          <cell r="AA60">
            <v>1.0282345523237368E-2</v>
          </cell>
          <cell r="AB60" t="str">
            <v/>
          </cell>
          <cell r="AC60">
            <v>2.2377821202693049E-2</v>
          </cell>
          <cell r="AD60">
            <v>3.6203377100475942E-2</v>
          </cell>
          <cell r="AE60">
            <v>6.5141992451992925E-2</v>
          </cell>
        </row>
        <row r="61">
          <cell r="D61" t="str">
            <v>EUR</v>
          </cell>
          <cell r="N61" t="str">
            <v/>
          </cell>
          <cell r="O61">
            <v>5.8823230557913941E-4</v>
          </cell>
          <cell r="P61">
            <v>1.2136782726757112E-3</v>
          </cell>
          <cell r="Q61">
            <v>4.5015416184586154E-3</v>
          </cell>
          <cell r="R61">
            <v>9.3150653491943514E-3</v>
          </cell>
          <cell r="S61" t="str">
            <v/>
          </cell>
          <cell r="T61">
            <v>2.4301372183932468E-2</v>
          </cell>
          <cell r="U61">
            <v>4.1078942906148885E-2</v>
          </cell>
          <cell r="V61">
            <v>7.0855611624579318E-2</v>
          </cell>
          <cell r="W61" t="str">
            <v/>
          </cell>
          <cell r="X61">
            <v>7.0583630213449933E-4</v>
          </cell>
          <cell r="Y61">
            <v>1.4152199353631989E-3</v>
          </cell>
          <cell r="Z61">
            <v>4.8697119408149803E-3</v>
          </cell>
          <cell r="AA61">
            <v>9.8482054684705389E-3</v>
          </cell>
          <cell r="AB61" t="str">
            <v/>
          </cell>
          <cell r="AC61">
            <v>2.548451280691999E-2</v>
          </cell>
          <cell r="AD61">
            <v>4.310384446891169E-2</v>
          </cell>
          <cell r="AE61">
            <v>7.4275241872123532E-2</v>
          </cell>
        </row>
        <row r="62">
          <cell r="D62" t="str">
            <v>EUR</v>
          </cell>
          <cell r="N62" t="str">
            <v/>
          </cell>
          <cell r="O62">
            <v>1.1761201684514777E-3</v>
          </cell>
          <cell r="P62">
            <v>2.4260042269160786E-3</v>
          </cell>
          <cell r="Q62">
            <v>5.5695943130954495E-3</v>
          </cell>
          <cell r="R62">
            <v>1.2011194061628094E-2</v>
          </cell>
          <cell r="S62" t="str">
            <v/>
          </cell>
          <cell r="T62">
            <v>2.6673185979083414E-2</v>
          </cell>
          <cell r="U62">
            <v>4.4468661456919745E-2</v>
          </cell>
          <cell r="V62">
            <v>8.1374336642258016E-2</v>
          </cell>
          <cell r="W62" t="str">
            <v/>
          </cell>
          <cell r="X62">
            <v>1.293652314683702E-3</v>
          </cell>
          <cell r="Y62">
            <v>2.6273148019655412E-3</v>
          </cell>
          <cell r="Z62">
            <v>5.9372332042343379E-3</v>
          </cell>
          <cell r="AA62">
            <v>1.2599238733387086E-2</v>
          </cell>
          <cell r="AB62" t="str">
            <v/>
          </cell>
          <cell r="AC62">
            <v>2.7987243201566869E-2</v>
          </cell>
          <cell r="AD62">
            <v>4.6646287665605857E-2</v>
          </cell>
          <cell r="AE62">
            <v>8.5317762074716197E-2</v>
          </cell>
        </row>
        <row r="63">
          <cell r="D63" t="str">
            <v>EUR</v>
          </cell>
          <cell r="N63" t="str">
            <v/>
          </cell>
          <cell r="O63">
            <v>3.5298073341860636E-4</v>
          </cell>
          <cell r="P63">
            <v>1.0156915748593676E-3</v>
          </cell>
          <cell r="Q63">
            <v>3.7546895494418031E-3</v>
          </cell>
          <cell r="R63">
            <v>8.2418200402932795E-3</v>
          </cell>
          <cell r="S63" t="str">
            <v/>
          </cell>
          <cell r="T63">
            <v>2.0692560978524455E-2</v>
          </cell>
          <cell r="U63">
            <v>3.6283275248537472E-2</v>
          </cell>
          <cell r="V63">
            <v>6.0108974833144924E-2</v>
          </cell>
          <cell r="W63" t="str">
            <v/>
          </cell>
          <cell r="X63">
            <v>4.7061295331773945E-4</v>
          </cell>
          <cell r="Y63">
            <v>1.2172868200731601E-3</v>
          </cell>
          <cell r="Z63">
            <v>4.1230943948105114E-3</v>
          </cell>
          <cell r="AA63">
            <v>8.7755102330853152E-3</v>
          </cell>
          <cell r="AB63" t="str">
            <v/>
          </cell>
          <cell r="AC63">
            <v>2.1692045117180259E-2</v>
          </cell>
          <cell r="AD63">
            <v>3.8047039913793324E-2</v>
          </cell>
          <cell r="AE63">
            <v>6.3010247852536283E-2</v>
          </cell>
        </row>
        <row r="64">
          <cell r="D64" t="str">
            <v>EUR</v>
          </cell>
          <cell r="N64" t="str">
            <v/>
          </cell>
          <cell r="O64">
            <v>3.5298073341860636E-4</v>
          </cell>
          <cell r="P64">
            <v>1.0156915748593676E-3</v>
          </cell>
          <cell r="Q64">
            <v>3.7546895494418031E-3</v>
          </cell>
          <cell r="R64">
            <v>7.1108393671827086E-3</v>
          </cell>
          <cell r="S64" t="str">
            <v/>
          </cell>
          <cell r="T64">
            <v>1.8000305488940938E-2</v>
          </cell>
          <cell r="U64">
            <v>2.9900609008937651E-2</v>
          </cell>
          <cell r="V64">
            <v>5.1661148408771229E-2</v>
          </cell>
          <cell r="W64" t="str">
            <v/>
          </cell>
          <cell r="X64">
            <v>4.7061295331773945E-4</v>
          </cell>
          <cell r="Y64">
            <v>1.2172868200731601E-3</v>
          </cell>
          <cell r="Z64">
            <v>4.1230943948105114E-3</v>
          </cell>
          <cell r="AA64">
            <v>7.6448978183254468E-3</v>
          </cell>
          <cell r="AB64" t="str">
            <v/>
          </cell>
          <cell r="AC64">
            <v>1.8860487512877833E-2</v>
          </cell>
          <cell r="AD64">
            <v>3.1351759975824289E-2</v>
          </cell>
          <cell r="AE64">
            <v>5.4151657906849282E-2</v>
          </cell>
        </row>
        <row r="65">
          <cell r="D65" t="str">
            <v>EUR</v>
          </cell>
          <cell r="N65" t="str">
            <v/>
          </cell>
          <cell r="O65">
            <v>2.3533427473454438E-4</v>
          </cell>
          <cell r="P65">
            <v>1.0192455533220013E-3</v>
          </cell>
          <cell r="Q65">
            <v>4.1368320388789348E-3</v>
          </cell>
          <cell r="R65">
            <v>7.6576576755230663E-3</v>
          </cell>
          <cell r="S65" t="str">
            <v/>
          </cell>
          <cell r="T65">
            <v>1.8872250426433812E-2</v>
          </cell>
          <cell r="U65">
            <v>3.1113140078738777E-2</v>
          </cell>
          <cell r="V65">
            <v>5.3312882132831363E-2</v>
          </cell>
          <cell r="W65" t="str">
            <v/>
          </cell>
          <cell r="X65">
            <v>3.5298049865262193E-4</v>
          </cell>
          <cell r="Y65">
            <v>1.2208537424306387E-3</v>
          </cell>
          <cell r="Z65">
            <v>4.505148542573445E-3</v>
          </cell>
          <cell r="AA65">
            <v>8.1914702055539967E-3</v>
          </cell>
          <cell r="AB65" t="str">
            <v/>
          </cell>
          <cell r="AC65">
            <v>1.9778519110842052E-2</v>
          </cell>
          <cell r="AD65">
            <v>3.2622943720843733E-2</v>
          </cell>
          <cell r="AE65">
            <v>5.5886614136365864E-2</v>
          </cell>
        </row>
        <row r="66">
          <cell r="D66" t="str">
            <v>EUR</v>
          </cell>
          <cell r="N66" t="str">
            <v/>
          </cell>
          <cell r="O66">
            <v>1.011546269175656E-3</v>
          </cell>
          <cell r="P66">
            <v>2.6360227155570737E-3</v>
          </cell>
          <cell r="Q66">
            <v>7.3842534800772075E-3</v>
          </cell>
          <cell r="R66">
            <v>1.3091347912023932E-2</v>
          </cell>
          <cell r="S66" t="str">
            <v/>
          </cell>
          <cell r="T66">
            <v>2.7467992000804853E-2</v>
          </cell>
          <cell r="U66">
            <v>4.3389600809497608E-2</v>
          </cell>
          <cell r="V66">
            <v>6.9394842129471335E-2</v>
          </cell>
          <cell r="W66" t="str">
            <v/>
          </cell>
          <cell r="X66">
            <v>1.1290987232305261E-3</v>
          </cell>
          <cell r="Y66">
            <v>2.8373238780706744E-3</v>
          </cell>
          <cell r="Z66">
            <v>7.7514143176310446E-3</v>
          </cell>
          <cell r="AA66">
            <v>1.3737945995514145E-2</v>
          </cell>
          <cell r="AB66" t="str">
            <v/>
          </cell>
          <cell r="AC66">
            <v>2.8820204672314276E-2</v>
          </cell>
          <cell r="AD66">
            <v>4.5514846990678981E-2</v>
          </cell>
          <cell r="AE66">
            <v>7.2754156297768491E-2</v>
          </cell>
        </row>
        <row r="67">
          <cell r="D67" t="str">
            <v>EUR</v>
          </cell>
          <cell r="N67" t="str">
            <v/>
          </cell>
          <cell r="O67">
            <v>1.1761201684514777E-3</v>
          </cell>
          <cell r="P67">
            <v>3.6549648898838161E-3</v>
          </cell>
          <cell r="Q67">
            <v>9.2862209204216395E-3</v>
          </cell>
          <cell r="R67">
            <v>2.0175588405137224E-2</v>
          </cell>
          <cell r="S67" t="str">
            <v/>
          </cell>
          <cell r="T67">
            <v>4.8811886223631196E-2</v>
          </cell>
          <cell r="U67">
            <v>8.4662764950106606E-2</v>
          </cell>
          <cell r="V67">
            <v>0.14244869822792405</v>
          </cell>
          <cell r="W67" t="str">
            <v/>
          </cell>
          <cell r="X67">
            <v>1.293652314683702E-3</v>
          </cell>
          <cell r="Y67">
            <v>3.8561088492904405E-3</v>
          </cell>
          <cell r="Z67">
            <v>9.7481378643363703E-3</v>
          </cell>
          <cell r="AA67">
            <v>2.1174767480599321E-2</v>
          </cell>
          <cell r="AB67" t="str">
            <v/>
          </cell>
          <cell r="AC67">
            <v>5.1206820477145421E-2</v>
          </cell>
          <cell r="AD67">
            <v>8.8758817845373872E-2</v>
          </cell>
          <cell r="AE67">
            <v>0.14916482619332194</v>
          </cell>
        </row>
        <row r="68">
          <cell r="D68" t="str">
            <v>EUR</v>
          </cell>
          <cell r="N68" t="str">
            <v/>
          </cell>
          <cell r="O68">
            <v>1.9985850884319811E-3</v>
          </cell>
          <cell r="P68">
            <v>4.243815408205065E-3</v>
          </cell>
          <cell r="Q68">
            <v>1.0773655634979007E-2</v>
          </cell>
          <cell r="R68">
            <v>2.3975489858646615E-2</v>
          </cell>
          <cell r="S68" t="str">
            <v/>
          </cell>
          <cell r="T68">
            <v>5.2868392480975746E-2</v>
          </cell>
          <cell r="U68">
            <v>9.1535160493357526E-2</v>
          </cell>
          <cell r="V68">
            <v>0.15713213304724372</v>
          </cell>
          <cell r="W68" t="str">
            <v/>
          </cell>
          <cell r="X68">
            <v>2.1160133915253398E-3</v>
          </cell>
          <cell r="Y68">
            <v>4.4550195324684072E-3</v>
          </cell>
          <cell r="Z68">
            <v>1.1309783001861695E-2</v>
          </cell>
          <cell r="AA68">
            <v>2.5163474871359615E-2</v>
          </cell>
          <cell r="AB68" t="str">
            <v/>
          </cell>
          <cell r="AC68">
            <v>5.5457078766282364E-2</v>
          </cell>
          <cell r="AD68">
            <v>9.5950599888214305E-2</v>
          </cell>
          <cell r="AE68">
            <v>0.16449679358151215</v>
          </cell>
        </row>
        <row r="69">
          <cell r="D69" t="str">
            <v>EUR</v>
          </cell>
          <cell r="N69" t="str">
            <v/>
          </cell>
          <cell r="O69">
            <v>4.7061340958476361E-4</v>
          </cell>
          <cell r="P69">
            <v>1.8325206103344538E-3</v>
          </cell>
          <cell r="Q69">
            <v>5.6084819271284836E-3</v>
          </cell>
          <cell r="R69">
            <v>1.2053045200797974E-2</v>
          </cell>
          <cell r="S69" t="str">
            <v/>
          </cell>
          <cell r="T69">
            <v>3.1396275814939312E-2</v>
          </cell>
          <cell r="U69">
            <v>5.6046100490466544E-2</v>
          </cell>
          <cell r="V69">
            <v>9.8664696641655336E-2</v>
          </cell>
          <cell r="W69" t="str">
            <v/>
          </cell>
          <cell r="X69">
            <v>5.8823155392451199E-4</v>
          </cell>
          <cell r="Y69">
            <v>2.0339921687133611E-3</v>
          </cell>
          <cell r="Z69">
            <v>5.9762646726673196E-3</v>
          </cell>
          <cell r="AA69">
            <v>1.2641262658800834E-2</v>
          </cell>
          <cell r="AB69" t="str">
            <v/>
          </cell>
          <cell r="AC69">
            <v>3.2942535822128027E-2</v>
          </cell>
          <cell r="AD69">
            <v>5.8779341346733682E-2</v>
          </cell>
          <cell r="AE69">
            <v>0.10341092697828502</v>
          </cell>
        </row>
        <row r="70">
          <cell r="D70" t="str">
            <v>EUR</v>
          </cell>
          <cell r="N70" t="str">
            <v/>
          </cell>
          <cell r="O70">
            <v>1.3524194061996786E-3</v>
          </cell>
          <cell r="P70">
            <v>2.9123909407012816E-3</v>
          </cell>
          <cell r="Q70">
            <v>7.4794592183067277E-3</v>
          </cell>
          <cell r="R70">
            <v>1.2783606998079788E-2</v>
          </cell>
          <cell r="S70" t="str">
            <v/>
          </cell>
          <cell r="T70">
            <v>2.6542288286854787E-2</v>
          </cell>
          <cell r="U70">
            <v>4.2017104510385539E-2</v>
          </cell>
          <cell r="V70">
            <v>6.7743701308214166E-2</v>
          </cell>
          <cell r="W70" t="str">
            <v/>
          </cell>
          <cell r="X70">
            <v>1.469929626734201E-3</v>
          </cell>
          <cell r="Y70">
            <v>3.1136154283487594E-3</v>
          </cell>
          <cell r="Z70">
            <v>7.8484259818007995E-3</v>
          </cell>
          <cell r="AA70">
            <v>1.3416055068409816E-2</v>
          </cell>
          <cell r="AB70" t="str">
            <v/>
          </cell>
          <cell r="AC70">
            <v>2.7850727312433654E-2</v>
          </cell>
          <cell r="AD70">
            <v>4.4077096749100764E-2</v>
          </cell>
          <cell r="AE70">
            <v>7.1026915747499531E-2</v>
          </cell>
        </row>
        <row r="71">
          <cell r="D71" t="str">
            <v>EUR</v>
          </cell>
          <cell r="N71" t="str">
            <v/>
          </cell>
          <cell r="O71">
            <v>8.2342876691621214E-4</v>
          </cell>
          <cell r="P71">
            <v>2.4368126355408526E-3</v>
          </cell>
          <cell r="Q71">
            <v>8.9961545331354031E-3</v>
          </cell>
          <cell r="R71">
            <v>1.7456049033307108E-2</v>
          </cell>
          <cell r="S71" t="str">
            <v/>
          </cell>
          <cell r="T71">
            <v>4.1851333141611713E-2</v>
          </cell>
          <cell r="U71">
            <v>6.8687749954220334E-2</v>
          </cell>
          <cell r="V71">
            <v>0.12388921721830937</v>
          </cell>
          <cell r="W71" t="str">
            <v/>
          </cell>
          <cell r="X71">
            <v>9.4100424795140469E-4</v>
          </cell>
          <cell r="Y71">
            <v>2.6381623096690676E-3</v>
          </cell>
          <cell r="Z71">
            <v>9.4389879557645884E-3</v>
          </cell>
          <cell r="AA71">
            <v>1.8318493105628275E-2</v>
          </cell>
          <cell r="AB71" t="str">
            <v/>
          </cell>
          <cell r="AC71">
            <v>4.3906959499948273E-2</v>
          </cell>
          <cell r="AD71">
            <v>7.2023610295936513E-2</v>
          </cell>
          <cell r="AE71">
            <v>0.12978219397929081</v>
          </cell>
        </row>
        <row r="72">
          <cell r="D72" t="str">
            <v>EUR</v>
          </cell>
          <cell r="N72" t="str">
            <v/>
          </cell>
          <cell r="O72">
            <v>4.7061340958476361E-4</v>
          </cell>
          <cell r="P72">
            <v>1.2172867430008116E-3</v>
          </cell>
          <cell r="Q72">
            <v>4.1230943714871682E-3</v>
          </cell>
          <cell r="R72">
            <v>7.6448978760804698E-3</v>
          </cell>
          <cell r="S72" t="str">
            <v/>
          </cell>
          <cell r="T72">
            <v>2.169402549227939E-2</v>
          </cell>
          <cell r="U72">
            <v>4.0237841810820796E-2</v>
          </cell>
          <cell r="V72">
            <v>7.3468674844032189E-2</v>
          </cell>
          <cell r="W72" t="str">
            <v/>
          </cell>
          <cell r="X72">
            <v>5.8823155392451199E-4</v>
          </cell>
          <cell r="Y72">
            <v>1.4188414855879072E-3</v>
          </cell>
          <cell r="Z72">
            <v>4.4913630143923466E-3</v>
          </cell>
          <cell r="AA72">
            <v>8.1786694198114906E-3</v>
          </cell>
          <cell r="AB72" t="str">
            <v/>
          </cell>
          <cell r="AC72">
            <v>2.2739973537908464E-2</v>
          </cell>
          <cell r="AD72">
            <v>4.2194775941482576E-2</v>
          </cell>
          <cell r="AE72">
            <v>7.7008829312246174E-2</v>
          </cell>
        </row>
        <row r="73">
          <cell r="D73" t="str">
            <v>EUR</v>
          </cell>
          <cell r="N73" t="str">
            <v/>
          </cell>
          <cell r="O73">
            <v>7.0583742388907744E-4</v>
          </cell>
          <cell r="P73">
            <v>2.2354227158818407E-3</v>
          </cell>
          <cell r="Q73">
            <v>7.4874308387082866E-3</v>
          </cell>
          <cell r="R73">
            <v>1.4179726753817068E-2</v>
          </cell>
          <cell r="S73" t="str">
            <v/>
          </cell>
          <cell r="T73">
            <v>3.0175745489502304E-2</v>
          </cell>
          <cell r="U73">
            <v>5.052594761649587E-2</v>
          </cell>
          <cell r="V73">
            <v>8.5576100341500205E-2</v>
          </cell>
          <cell r="W73" t="str">
            <v/>
          </cell>
          <cell r="X73">
            <v>8.2342719960870614E-4</v>
          </cell>
          <cell r="Y73">
            <v>2.4368126847228444E-3</v>
          </cell>
          <cell r="Z73">
            <v>7.8546612157210927E-3</v>
          </cell>
          <cell r="AA73">
            <v>1.4879613044648021E-2</v>
          </cell>
          <cell r="AB73" t="str">
            <v/>
          </cell>
          <cell r="AC73">
            <v>3.1658211957758531E-2</v>
          </cell>
          <cell r="AD73">
            <v>5.2995090014304247E-2</v>
          </cell>
          <cell r="AE73">
            <v>8.9694097582031396E-2</v>
          </cell>
        </row>
        <row r="74">
          <cell r="D74" t="str">
            <v>EUR</v>
          </cell>
          <cell r="N74" t="str">
            <v/>
          </cell>
          <cell r="O74">
            <v>2.3533427473454438E-4</v>
          </cell>
          <cell r="P74">
            <v>6.0880878601543564E-4</v>
          </cell>
          <cell r="Q74">
            <v>2.2535957106949445E-3</v>
          </cell>
          <cell r="R74">
            <v>4.9497085014804654E-3</v>
          </cell>
          <cell r="S74" t="str">
            <v/>
          </cell>
          <cell r="T74">
            <v>1.169418927974053E-2</v>
          </cell>
          <cell r="U74">
            <v>2.27876409794876E-2</v>
          </cell>
          <cell r="V74">
            <v>4.5602730802482339E-2</v>
          </cell>
          <cell r="W74" t="str">
            <v/>
          </cell>
          <cell r="X74">
            <v>3.5298049865262193E-4</v>
          </cell>
          <cell r="Y74">
            <v>8.1047262140243603E-4</v>
          </cell>
          <cell r="Z74">
            <v>2.6224552520615063E-3</v>
          </cell>
          <cell r="AA74">
            <v>5.4848436196131001E-3</v>
          </cell>
          <cell r="AB74" t="str">
            <v/>
          </cell>
          <cell r="AC74">
            <v>1.2558819112284292E-2</v>
          </cell>
          <cell r="AD74">
            <v>2.3973719885177269E-2</v>
          </cell>
          <cell r="AE74">
            <v>4.7763358098112274E-2</v>
          </cell>
        </row>
        <row r="75">
          <cell r="D75" t="str">
            <v>EUR</v>
          </cell>
          <cell r="N75" t="str">
            <v/>
          </cell>
          <cell r="O75">
            <v>1.0820812444618522E-3</v>
          </cell>
          <cell r="P75">
            <v>2.8182704002565062E-3</v>
          </cell>
          <cell r="Q75">
            <v>7.7525981806861877E-3</v>
          </cell>
          <cell r="R75">
            <v>1.3511780179939592E-2</v>
          </cell>
          <cell r="S75" t="str">
            <v/>
          </cell>
          <cell r="T75">
            <v>2.6463989866959858E-2</v>
          </cell>
          <cell r="U75">
            <v>4.0894456564315007E-2</v>
          </cell>
          <cell r="V75">
            <v>6.384842901299348E-2</v>
          </cell>
          <cell r="W75" t="str">
            <v/>
          </cell>
          <cell r="X75">
            <v>1.1996250135098974E-3</v>
          </cell>
          <cell r="Y75">
            <v>3.0195382967451723E-3</v>
          </cell>
          <cell r="Z75">
            <v>8.1348610438796154E-3</v>
          </cell>
          <cell r="AA75">
            <v>1.4179734077533812E-2</v>
          </cell>
          <cell r="AB75" t="str">
            <v/>
          </cell>
          <cell r="AC75">
            <v>2.7766699840809816E-2</v>
          </cell>
          <cell r="AD75">
            <v>4.2898510654502453E-2</v>
          </cell>
          <cell r="AE75">
            <v>6.6943033579338174E-2</v>
          </cell>
        </row>
        <row r="76">
          <cell r="D76" t="str">
            <v>EUR</v>
          </cell>
          <cell r="N76" t="str">
            <v/>
          </cell>
          <cell r="O76">
            <v>2.8203763221921196E-3</v>
          </cell>
          <cell r="P76">
            <v>6.4672863553858484E-3</v>
          </cell>
          <cell r="Q76">
            <v>1.820033754496142E-2</v>
          </cell>
          <cell r="R76">
            <v>3.625356409624314E-2</v>
          </cell>
          <cell r="S76" t="str">
            <v/>
          </cell>
          <cell r="T76">
            <v>9.0306506476492188E-2</v>
          </cell>
          <cell r="U76">
            <v>0.14648354385462536</v>
          </cell>
          <cell r="V76">
            <v>0.23239109804790081</v>
          </cell>
          <cell r="W76" t="str">
            <v/>
          </cell>
          <cell r="X76">
            <v>2.9611634611057536E-3</v>
          </cell>
          <cell r="Y76">
            <v>6.7896642832134813E-3</v>
          </cell>
          <cell r="Z76">
            <v>1.9103711287292269E-2</v>
          </cell>
          <cell r="AA76">
            <v>3.8041524396111859E-2</v>
          </cell>
          <cell r="AB76" t="str">
            <v/>
          </cell>
          <cell r="AC76">
            <v>9.46731896887133E-2</v>
          </cell>
          <cell r="AD76">
            <v>0.15338082600433323</v>
          </cell>
          <cell r="AE76">
            <v>0.24285398614868314</v>
          </cell>
        </row>
        <row r="77">
          <cell r="D77" t="str">
            <v>EUR</v>
          </cell>
          <cell r="N77" t="str">
            <v/>
          </cell>
          <cell r="O77">
            <v>7.0583742388907744E-4</v>
          </cell>
          <cell r="P77">
            <v>2.2354227158818407E-3</v>
          </cell>
          <cell r="Q77">
            <v>7.868215801130507E-3</v>
          </cell>
          <cell r="R77">
            <v>1.5283868490628572E-2</v>
          </cell>
          <cell r="S77" t="str">
            <v/>
          </cell>
          <cell r="T77">
            <v>3.5639288119184154E-2</v>
          </cell>
          <cell r="U77">
            <v>5.9077659818916661E-2</v>
          </cell>
          <cell r="V77">
            <v>0.10708959610386959</v>
          </cell>
          <cell r="W77" t="str">
            <v/>
          </cell>
          <cell r="X77">
            <v>8.2342719960870614E-4</v>
          </cell>
          <cell r="Y77">
            <v>2.4368126847228444E-3</v>
          </cell>
          <cell r="Z77">
            <v>8.2543822422438407E-3</v>
          </cell>
          <cell r="AA77">
            <v>1.6038462293124667E-2</v>
          </cell>
          <cell r="AB77" t="str">
            <v/>
          </cell>
          <cell r="AC77">
            <v>3.7390740577953441E-2</v>
          </cell>
          <cell r="AD77">
            <v>6.1957780435557996E-2</v>
          </cell>
          <cell r="AE77">
            <v>0.1122159710732088</v>
          </cell>
        </row>
        <row r="78">
          <cell r="D78" t="str">
            <v>EUR</v>
          </cell>
          <cell r="N78" t="str">
            <v/>
          </cell>
          <cell r="O78">
            <v>1.1761201684514777E-3</v>
          </cell>
          <cell r="P78">
            <v>2.8358836412837318E-3</v>
          </cell>
          <cell r="Q78">
            <v>8.2081269908855781E-3</v>
          </cell>
          <cell r="R78">
            <v>1.8039317982199599E-2</v>
          </cell>
          <cell r="S78" t="str">
            <v/>
          </cell>
          <cell r="T78">
            <v>4.5464499825555116E-2</v>
          </cell>
          <cell r="U78">
            <v>7.7467459181736031E-2</v>
          </cell>
          <cell r="V78">
            <v>0.13123739226878028</v>
          </cell>
          <cell r="W78" t="str">
            <v/>
          </cell>
          <cell r="X78">
            <v>1.293652314683702E-3</v>
          </cell>
          <cell r="Y78">
            <v>3.0371386578909032E-3</v>
          </cell>
          <cell r="Z78">
            <v>8.6130666090672436E-3</v>
          </cell>
          <cell r="AA78">
            <v>1.8931354050590099E-2</v>
          </cell>
          <cell r="AB78" t="str">
            <v/>
          </cell>
          <cell r="AC78">
            <v>4.7695261667875299E-2</v>
          </cell>
          <cell r="AD78">
            <v>8.1223722923831732E-2</v>
          </cell>
          <cell r="AE78">
            <v>0.13745160742665696</v>
          </cell>
        </row>
        <row r="79">
          <cell r="D79" t="str">
            <v>EUR</v>
          </cell>
          <cell r="N79" t="str">
            <v/>
          </cell>
          <cell r="O79">
            <v>5.8823230557913941E-4</v>
          </cell>
          <cell r="P79">
            <v>1.0092775173019541E-3</v>
          </cell>
          <cell r="Q79">
            <v>3.7496532589399445E-3</v>
          </cell>
          <cell r="R79">
            <v>9.9306999908209681E-3</v>
          </cell>
          <cell r="S79" t="str">
            <v/>
          </cell>
          <cell r="T79">
            <v>2.4241958937759822E-2</v>
          </cell>
          <cell r="U79">
            <v>4.3815457748399789E-2</v>
          </cell>
          <cell r="V79">
            <v>8.0166351659363255E-2</v>
          </cell>
          <cell r="W79" t="str">
            <v/>
          </cell>
          <cell r="X79">
            <v>7.0583630213449933E-4</v>
          </cell>
          <cell r="Y79">
            <v>1.2108565538985205E-3</v>
          </cell>
          <cell r="Z79">
            <v>4.1180478663638276E-3</v>
          </cell>
          <cell r="AA79">
            <v>1.0463819986548217E-2</v>
          </cell>
          <cell r="AB79" t="str">
            <v/>
          </cell>
          <cell r="AC79">
            <v>2.5426055836184958E-2</v>
          </cell>
          <cell r="AD79">
            <v>4.5929541855125766E-2</v>
          </cell>
          <cell r="AE79">
            <v>8.4046916247105141E-2</v>
          </cell>
        </row>
        <row r="80">
          <cell r="D80" t="str">
            <v>EUR</v>
          </cell>
          <cell r="N80" t="str">
            <v/>
          </cell>
          <cell r="O80">
            <v>1.1761201684514777E-3</v>
          </cell>
          <cell r="P80">
            <v>2.0167767433040273E-3</v>
          </cell>
          <cell r="Q80">
            <v>6.7285536945660418E-3</v>
          </cell>
          <cell r="R80">
            <v>1.5909365922130103E-2</v>
          </cell>
          <cell r="S80" t="str">
            <v/>
          </cell>
          <cell r="T80">
            <v>3.837063245813821E-2</v>
          </cell>
          <cell r="U80">
            <v>6.6752839338821812E-2</v>
          </cell>
          <cell r="V80">
            <v>0.12083847921268964</v>
          </cell>
          <cell r="W80" t="str">
            <v/>
          </cell>
          <cell r="X80">
            <v>1.293652314683702E-3</v>
          </cell>
          <cell r="Y80">
            <v>2.218147906744905E-3</v>
          </cell>
          <cell r="Z80">
            <v>7.0959884309272914E-3</v>
          </cell>
          <cell r="AA80">
            <v>1.6693160281737729E-2</v>
          </cell>
          <cell r="AB80" t="str">
            <v/>
          </cell>
          <cell r="AC80">
            <v>4.0253687723516118E-2</v>
          </cell>
          <cell r="AD80">
            <v>6.9998527482515338E-2</v>
          </cell>
          <cell r="AE80">
            <v>0.12659601963241784</v>
          </cell>
        </row>
        <row r="81">
          <cell r="D81" t="str">
            <v>EUR</v>
          </cell>
          <cell r="N81" t="str">
            <v/>
          </cell>
          <cell r="O81">
            <v>4.7061340958476361E-4</v>
          </cell>
          <cell r="P81">
            <v>1.8325206103344538E-3</v>
          </cell>
          <cell r="Q81">
            <v>4.8447899781817183E-3</v>
          </cell>
          <cell r="R81">
            <v>9.8377686288169119E-3</v>
          </cell>
          <cell r="S81" t="str">
            <v/>
          </cell>
          <cell r="T81">
            <v>2.5110655994270648E-2</v>
          </cell>
          <cell r="U81">
            <v>4.3606181880270323E-2</v>
          </cell>
          <cell r="V81">
            <v>7.6116803908849007E-2</v>
          </cell>
          <cell r="W81" t="str">
            <v/>
          </cell>
          <cell r="X81">
            <v>5.8823155392451199E-4</v>
          </cell>
          <cell r="Y81">
            <v>2.0339921687133611E-3</v>
          </cell>
          <cell r="Z81">
            <v>5.2127599325659801E-3</v>
          </cell>
          <cell r="AA81">
            <v>1.0370595101421021E-2</v>
          </cell>
          <cell r="AB81" t="str">
            <v/>
          </cell>
          <cell r="AC81">
            <v>2.6342738939741484E-2</v>
          </cell>
          <cell r="AD81">
            <v>4.5733462746676001E-2</v>
          </cell>
          <cell r="AE81">
            <v>7.9798266717160504E-2</v>
          </cell>
        </row>
        <row r="82">
          <cell r="D82" t="str">
            <v>EUR</v>
          </cell>
          <cell r="N82" t="str">
            <v/>
          </cell>
          <cell r="O82">
            <v>7.0583742388907744E-4</v>
          </cell>
          <cell r="P82">
            <v>2.6451851910358481E-3</v>
          </cell>
          <cell r="Q82">
            <v>7.0736086334732828E-3</v>
          </cell>
          <cell r="R82">
            <v>1.3620720997893576E-2</v>
          </cell>
          <cell r="S82" t="str">
            <v/>
          </cell>
          <cell r="T82">
            <v>3.5811645964870853E-2</v>
          </cell>
          <cell r="U82">
            <v>6.3228171963070623E-2</v>
          </cell>
          <cell r="V82">
            <v>0.108371091223745</v>
          </cell>
          <cell r="W82" t="str">
            <v/>
          </cell>
          <cell r="X82">
            <v>8.2342719960870614E-4</v>
          </cell>
          <cell r="Y82">
            <v>2.8465196519359415E-3</v>
          </cell>
          <cell r="Z82">
            <v>7.4408601377257133E-3</v>
          </cell>
          <cell r="AA82">
            <v>1.4292139475147847E-2</v>
          </cell>
          <cell r="AB82" t="str">
            <v/>
          </cell>
          <cell r="AC82">
            <v>3.7573531854821041E-2</v>
          </cell>
          <cell r="AD82">
            <v>6.6309499155964069E-2</v>
          </cell>
          <cell r="AE82">
            <v>0.11355665095604373</v>
          </cell>
        </row>
        <row r="83">
          <cell r="D83" t="str">
            <v>EUR</v>
          </cell>
          <cell r="N83" t="str">
            <v/>
          </cell>
          <cell r="O83">
            <v>3.5298073341860636E-4</v>
          </cell>
          <cell r="P83">
            <v>1.8360018497242114E-3</v>
          </cell>
          <cell r="Q83">
            <v>5.6064173684181595E-3</v>
          </cell>
          <cell r="R83">
            <v>1.205480582923979E-2</v>
          </cell>
          <cell r="S83" t="str">
            <v/>
          </cell>
          <cell r="T83">
            <v>2.7661360228453558E-2</v>
          </cell>
          <cell r="U83">
            <v>4.9812017871672998E-2</v>
          </cell>
          <cell r="V83">
            <v>9.0238094955672588E-2</v>
          </cell>
          <cell r="W83" t="str">
            <v/>
          </cell>
          <cell r="X83">
            <v>4.7061295331773945E-4</v>
          </cell>
          <cell r="Y83">
            <v>2.0374857662349699E-3</v>
          </cell>
          <cell r="Z83">
            <v>5.97420595109599E-3</v>
          </cell>
          <cell r="AA83">
            <v>1.2642999176146974E-2</v>
          </cell>
          <cell r="AB83" t="str">
            <v/>
          </cell>
          <cell r="AC83">
            <v>2.9021812914784118E-2</v>
          </cell>
          <cell r="AD83">
            <v>5.2245360546262498E-2</v>
          </cell>
          <cell r="AE83">
            <v>9.4592936433431252E-2</v>
          </cell>
        </row>
        <row r="84">
          <cell r="D84" t="str">
            <v>EUR</v>
          </cell>
          <cell r="N84" t="str">
            <v/>
          </cell>
          <cell r="O84">
            <v>1.1761201684514777E-3</v>
          </cell>
          <cell r="P84">
            <v>2.2209797554582078E-3</v>
          </cell>
          <cell r="Q84">
            <v>7.1003186264176898E-3</v>
          </cell>
          <cell r="R84">
            <v>1.362322140890182E-2</v>
          </cell>
          <cell r="S84" t="str">
            <v/>
          </cell>
          <cell r="T84">
            <v>3.5856457877294634E-2</v>
          </cell>
          <cell r="U84">
            <v>6.1910779619233192E-2</v>
          </cell>
          <cell r="V84">
            <v>9.6857602315229552E-2</v>
          </cell>
          <cell r="W84" t="str">
            <v/>
          </cell>
          <cell r="X84">
            <v>1.293652314683702E-3</v>
          </cell>
          <cell r="Y84">
            <v>2.4223181174968245E-3</v>
          </cell>
          <cell r="Z84">
            <v>7.467622014547981E-3</v>
          </cell>
          <cell r="AA84">
            <v>1.429540143503838E-2</v>
          </cell>
          <cell r="AB84" t="str">
            <v/>
          </cell>
          <cell r="AC84">
            <v>3.7618799942238268E-2</v>
          </cell>
          <cell r="AD84">
            <v>6.4928538800085978E-2</v>
          </cell>
          <cell r="AE84">
            <v>0.10149681567323776</v>
          </cell>
        </row>
        <row r="85">
          <cell r="D85" t="str">
            <v>EUR</v>
          </cell>
          <cell r="N85" t="str">
            <v/>
          </cell>
          <cell r="O85">
            <v>2.0690507228052768E-3</v>
          </cell>
          <cell r="P85">
            <v>4.2211179019083778E-3</v>
          </cell>
          <cell r="Q85">
            <v>1.0129061683736729E-2</v>
          </cell>
          <cell r="R85">
            <v>1.6722044119525492E-2</v>
          </cell>
          <cell r="S85" t="str">
            <v/>
          </cell>
          <cell r="T85">
            <v>3.2475642137572924E-2</v>
          </cell>
          <cell r="U85">
            <v>4.9042138669325941E-2</v>
          </cell>
          <cell r="V85">
            <v>7.515315470635453E-2</v>
          </cell>
          <cell r="W85" t="str">
            <v/>
          </cell>
          <cell r="X85">
            <v>2.1864699410448774E-3</v>
          </cell>
          <cell r="Y85">
            <v>4.4312945147685356E-3</v>
          </cell>
          <cell r="Z85">
            <v>1.0633172425266291E-2</v>
          </cell>
          <cell r="AA85">
            <v>1.7551435366953139E-2</v>
          </cell>
          <cell r="AB85" t="str">
            <v/>
          </cell>
          <cell r="AC85">
            <v>3.4075798578479977E-2</v>
          </cell>
          <cell r="AD85">
            <v>5.1439185772273577E-2</v>
          </cell>
          <cell r="AE85">
            <v>7.8780619478540759E-2</v>
          </cell>
        </row>
        <row r="86">
          <cell r="D86" t="str">
            <v>EUR</v>
          </cell>
          <cell r="N86" t="str">
            <v/>
          </cell>
          <cell r="O86">
            <v>1.3641715876676619E-3</v>
          </cell>
          <cell r="P86">
            <v>3.0554457045692818E-3</v>
          </cell>
          <cell r="Q86">
            <v>7.5463703753376743E-3</v>
          </cell>
          <cell r="R86">
            <v>1.2886959970809353E-2</v>
          </cell>
          <cell r="S86" t="str">
            <v/>
          </cell>
          <cell r="T86">
            <v>2.558257584859791E-2</v>
          </cell>
          <cell r="U86">
            <v>4.0235956995704258E-2</v>
          </cell>
          <cell r="V86">
            <v>6.4107590481533139E-2</v>
          </cell>
          <cell r="W86" t="str">
            <v/>
          </cell>
          <cell r="X86">
            <v>1.4816803402574186E-3</v>
          </cell>
          <cell r="Y86">
            <v>3.2566497717982923E-3</v>
          </cell>
          <cell r="Z86">
            <v>7.9190987001090951E-3</v>
          </cell>
          <cell r="AA86">
            <v>1.3524669705709647E-2</v>
          </cell>
          <cell r="AB86" t="str">
            <v/>
          </cell>
          <cell r="AC86">
            <v>2.684321845298665E-2</v>
          </cell>
          <cell r="AD86">
            <v>4.2209565328419019E-2</v>
          </cell>
          <cell r="AE86">
            <v>6.7217587342212282E-2</v>
          </cell>
        </row>
        <row r="87">
          <cell r="D87" t="str">
            <v>EUR</v>
          </cell>
          <cell r="N87" t="str">
            <v/>
          </cell>
          <cell r="O87">
            <v>8.2342876691621214E-4</v>
          </cell>
          <cell r="P87">
            <v>2.0268797729209309E-3</v>
          </cell>
          <cell r="Q87">
            <v>5.97705299138096E-3</v>
          </cell>
          <cell r="R87">
            <v>1.1452960400101131E-2</v>
          </cell>
          <cell r="S87" t="str">
            <v/>
          </cell>
          <cell r="T87">
            <v>2.9593365949801997E-2</v>
          </cell>
          <cell r="U87">
            <v>4.956213666167919E-2</v>
          </cell>
          <cell r="V87">
            <v>8.4361803361274967E-2</v>
          </cell>
          <cell r="W87" t="str">
            <v/>
          </cell>
          <cell r="X87">
            <v>9.4100424795140469E-4</v>
          </cell>
          <cell r="Y87">
            <v>2.2282848186230275E-3</v>
          </cell>
          <cell r="Z87">
            <v>6.3446888383446032E-3</v>
          </cell>
          <cell r="AA87">
            <v>1.2013170037099008E-2</v>
          </cell>
          <cell r="AB87" t="str">
            <v/>
          </cell>
          <cell r="AC87">
            <v>3.1048718441633705E-2</v>
          </cell>
          <cell r="AD87">
            <v>5.1983642152434895E-2</v>
          </cell>
          <cell r="AE87">
            <v>8.8434557942412173E-2</v>
          </cell>
        </row>
        <row r="88">
          <cell r="D88" t="str">
            <v>EUR</v>
          </cell>
          <cell r="N88" t="str">
            <v/>
          </cell>
          <cell r="O88">
            <v>1.9985850884319811E-3</v>
          </cell>
          <cell r="P88">
            <v>3.6294939646501767E-3</v>
          </cell>
          <cell r="Q88">
            <v>1.0047294904644732E-2</v>
          </cell>
          <cell r="R88">
            <v>2.123703174553393E-2</v>
          </cell>
          <cell r="S88" t="str">
            <v/>
          </cell>
          <cell r="T88">
            <v>5.3301964251863398E-2</v>
          </cell>
          <cell r="U88">
            <v>8.7833501762284882E-2</v>
          </cell>
          <cell r="V88">
            <v>0.14905922407659877</v>
          </cell>
          <cell r="W88" t="str">
            <v/>
          </cell>
          <cell r="X88">
            <v>2.1160133915253398E-3</v>
          </cell>
          <cell r="Y88">
            <v>3.8305481639375749E-3</v>
          </cell>
          <cell r="Z88">
            <v>1.0546023633094759E-2</v>
          </cell>
          <cell r="AA88">
            <v>2.2301040121397331E-2</v>
          </cell>
          <cell r="AB88" t="str">
            <v/>
          </cell>
          <cell r="AC88">
            <v>5.5910845235296214E-2</v>
          </cell>
          <cell r="AD88">
            <v>9.2073244227543372E-2</v>
          </cell>
          <cell r="AE88">
            <v>0.15606375752188861</v>
          </cell>
        </row>
        <row r="89">
          <cell r="D89" t="str">
            <v>EUR</v>
          </cell>
          <cell r="N89" t="str">
            <v/>
          </cell>
          <cell r="O89">
            <v>4.7061340958476361E-4</v>
          </cell>
          <cell r="P89">
            <v>1.4224212190881991E-3</v>
          </cell>
          <cell r="Q89">
            <v>5.6349865097781171E-3</v>
          </cell>
          <cell r="R89">
            <v>1.2069312303711666E-2</v>
          </cell>
          <cell r="S89" t="str">
            <v/>
          </cell>
          <cell r="T89">
            <v>3.0510857920124645E-2</v>
          </cell>
          <cell r="U89">
            <v>5.2141550840897777E-2</v>
          </cell>
          <cell r="V89">
            <v>9.7651174000317198E-2</v>
          </cell>
          <cell r="W89" t="str">
            <v/>
          </cell>
          <cell r="X89">
            <v>5.8823155392451199E-4</v>
          </cell>
          <cell r="Y89">
            <v>1.6239482287041529E-3</v>
          </cell>
          <cell r="Z89">
            <v>6.0028436650338968E-3</v>
          </cell>
          <cell r="AA89">
            <v>1.2657742114997039E-2</v>
          </cell>
          <cell r="AB89" t="str">
            <v/>
          </cell>
          <cell r="AC89">
            <v>3.2009743716882366E-2</v>
          </cell>
          <cell r="AD89">
            <v>5.4683302602570594E-2</v>
          </cell>
          <cell r="AE89">
            <v>0.10235302726200746</v>
          </cell>
        </row>
        <row r="90">
          <cell r="D90" t="str">
            <v>EUR</v>
          </cell>
          <cell r="N90" t="str">
            <v/>
          </cell>
          <cell r="O90">
            <v>1.2936564344949719E-3</v>
          </cell>
          <cell r="P90">
            <v>2.2181549650379662E-3</v>
          </cell>
          <cell r="Q90">
            <v>5.9579779752720885E-3</v>
          </cell>
          <cell r="R90">
            <v>1.2561450087907322E-2</v>
          </cell>
          <cell r="S90" t="str">
            <v/>
          </cell>
          <cell r="T90">
            <v>3.318045080738552E-2</v>
          </cell>
          <cell r="U90">
            <v>5.3009593169728975E-2</v>
          </cell>
          <cell r="V90">
            <v>9.5164718684715432E-2</v>
          </cell>
          <cell r="W90" t="str">
            <v/>
          </cell>
          <cell r="X90">
            <v>1.4111739830211523E-3</v>
          </cell>
          <cell r="Y90">
            <v>2.4194841805483813E-3</v>
          </cell>
          <cell r="Z90">
            <v>6.325556754443018E-3</v>
          </cell>
          <cell r="AA90">
            <v>1.3177583749595878E-2</v>
          </cell>
          <cell r="AB90" t="str">
            <v/>
          </cell>
          <cell r="AC90">
            <v>3.4813306584796311E-2</v>
          </cell>
          <cell r="AD90">
            <v>5.5595829026690025E-2</v>
          </cell>
          <cell r="AE90">
            <v>9.9745852995137607E-2</v>
          </cell>
        </row>
        <row r="91">
          <cell r="D91" t="str">
            <v>EUR</v>
          </cell>
          <cell r="N91" t="str">
            <v/>
          </cell>
          <cell r="O91">
            <v>7.0583742388907744E-4</v>
          </cell>
          <cell r="P91">
            <v>1.4152198693172524E-3</v>
          </cell>
          <cell r="Q91">
            <v>4.4894063326089695E-3</v>
          </cell>
          <cell r="R91">
            <v>9.3057444619324414E-3</v>
          </cell>
          <cell r="S91" t="str">
            <v/>
          </cell>
          <cell r="T91">
            <v>2.4288505993311449E-2</v>
          </cell>
          <cell r="U91">
            <v>4.3791047641592362E-2</v>
          </cell>
          <cell r="V91">
            <v>8.2273002004070839E-2</v>
          </cell>
          <cell r="W91" t="str">
            <v/>
          </cell>
          <cell r="X91">
            <v>8.2342719960870614E-4</v>
          </cell>
          <cell r="Y91">
            <v>1.6167209125957926E-3</v>
          </cell>
          <cell r="Z91">
            <v>4.8575339699230557E-3</v>
          </cell>
          <cell r="AA91">
            <v>9.8388519972031352E-3</v>
          </cell>
          <cell r="AB91" t="str">
            <v/>
          </cell>
          <cell r="AC91">
            <v>2.547227160060439E-2</v>
          </cell>
          <cell r="AD91">
            <v>4.5925656666833237E-2</v>
          </cell>
          <cell r="AE91">
            <v>8.6244612762986117E-2</v>
          </cell>
        </row>
        <row r="92">
          <cell r="D92" t="str">
            <v>EUR</v>
          </cell>
          <cell r="N92" t="str">
            <v/>
          </cell>
          <cell r="O92">
            <v>1.0585701367545886E-3</v>
          </cell>
          <cell r="P92">
            <v>4.8851952355756234E-3</v>
          </cell>
          <cell r="Q92">
            <v>1.3027989424154063E-2</v>
          </cell>
          <cell r="R92">
            <v>2.4392505965141198E-2</v>
          </cell>
          <cell r="S92" t="str">
            <v/>
          </cell>
          <cell r="T92">
            <v>6.0134079819668007E-2</v>
          </cell>
          <cell r="U92">
            <v>9.9514044731724982E-2</v>
          </cell>
          <cell r="V92">
            <v>0.168183216535016</v>
          </cell>
          <cell r="W92" t="str">
            <v/>
          </cell>
          <cell r="X92">
            <v>1.1761168038567638E-3</v>
          </cell>
          <cell r="Y92">
            <v>5.1270379504751995E-3</v>
          </cell>
          <cell r="Z92">
            <v>1.3675068430423098E-2</v>
          </cell>
          <cell r="AA92">
            <v>2.5599884133007733E-2</v>
          </cell>
          <cell r="AB92" t="str">
            <v/>
          </cell>
          <cell r="AC92">
            <v>6.3077214383202795E-2</v>
          </cell>
          <cell r="AD92">
            <v>0.10429384325743696</v>
          </cell>
          <cell r="AE92">
            <v>0.17602481628221045</v>
          </cell>
        </row>
        <row r="93">
          <cell r="D93" t="str">
            <v>EUR</v>
          </cell>
          <cell r="N93" t="str">
            <v/>
          </cell>
          <cell r="O93">
            <v>8.2342876691621214E-4</v>
          </cell>
          <cell r="P93">
            <v>2.0268797729209309E-3</v>
          </cell>
          <cell r="Q93">
            <v>7.4984733809777548E-3</v>
          </cell>
          <cell r="R93">
            <v>1.7000270700021858E-2</v>
          </cell>
          <cell r="S93" t="str">
            <v/>
          </cell>
          <cell r="T93">
            <v>4.2879846988283954E-2</v>
          </cell>
          <cell r="U93">
            <v>7.268951072684704E-2</v>
          </cell>
          <cell r="V93">
            <v>0.12690029283017068</v>
          </cell>
          <cell r="W93" t="str">
            <v/>
          </cell>
          <cell r="X93">
            <v>9.4100424795140469E-4</v>
          </cell>
          <cell r="Y93">
            <v>2.2282848186230275E-3</v>
          </cell>
          <cell r="Z93">
            <v>7.8657359293518025E-3</v>
          </cell>
          <cell r="AA93">
            <v>1.783969476687508E-2</v>
          </cell>
          <cell r="AB93" t="str">
            <v/>
          </cell>
          <cell r="AC93">
            <v>4.4976979302184916E-2</v>
          </cell>
          <cell r="AD93">
            <v>7.6219677460711233E-2</v>
          </cell>
          <cell r="AE93">
            <v>0.13292563745209041</v>
          </cell>
        </row>
        <row r="94">
          <cell r="D94" t="str">
            <v>EUR</v>
          </cell>
          <cell r="N94" t="str">
            <v/>
          </cell>
          <cell r="O94">
            <v>5.8823230557913941E-4</v>
          </cell>
          <cell r="P94">
            <v>1.2136782726757112E-3</v>
          </cell>
          <cell r="Q94">
            <v>5.2617609228132745E-3</v>
          </cell>
          <cell r="R94">
            <v>1.0397843760764136E-2</v>
          </cell>
          <cell r="S94" t="str">
            <v/>
          </cell>
          <cell r="T94">
            <v>2.6993550401426036E-2</v>
          </cell>
          <cell r="U94">
            <v>4.7386589094374543E-2</v>
          </cell>
          <cell r="V94">
            <v>8.9245353410433492E-2</v>
          </cell>
          <cell r="W94" t="str">
            <v/>
          </cell>
          <cell r="X94">
            <v>7.0583630213449933E-4</v>
          </cell>
          <cell r="Y94">
            <v>1.4152199353631989E-3</v>
          </cell>
          <cell r="Z94">
            <v>5.62974456943377E-3</v>
          </cell>
          <cell r="AA94">
            <v>1.0930476221019725E-2</v>
          </cell>
          <cell r="AB94" t="str">
            <v/>
          </cell>
          <cell r="AC94">
            <v>2.8316261862172731E-2</v>
          </cell>
          <cell r="AD94">
            <v>4.9699393145533621E-2</v>
          </cell>
          <cell r="AE94">
            <v>9.3551381458354288E-2</v>
          </cell>
        </row>
        <row r="95">
          <cell r="D95" t="str">
            <v>EUR</v>
          </cell>
          <cell r="N95" t="str">
            <v/>
          </cell>
          <cell r="O95">
            <v>1.0585701367545886E-3</v>
          </cell>
          <cell r="P95">
            <v>1.8153579930627606E-3</v>
          </cell>
          <cell r="Q95">
            <v>6.7401227082872772E-3</v>
          </cell>
          <cell r="R95">
            <v>1.2528807306661505E-2</v>
          </cell>
          <cell r="S95" t="str">
            <v/>
          </cell>
          <cell r="T95">
            <v>3.3232200468662487E-2</v>
          </cell>
          <cell r="U95">
            <v>5.3000134000670052E-2</v>
          </cell>
          <cell r="V95">
            <v>9.3286820490321887E-2</v>
          </cell>
          <cell r="W95" t="str">
            <v/>
          </cell>
          <cell r="X95">
            <v>1.1761168038567638E-3</v>
          </cell>
          <cell r="Y95">
            <v>2.016770978406135E-3</v>
          </cell>
          <cell r="Z95">
            <v>7.1076003742251981E-3</v>
          </cell>
          <cell r="AA95">
            <v>1.3145230968133137E-2</v>
          </cell>
          <cell r="AB95" t="str">
            <v/>
          </cell>
          <cell r="AC95">
            <v>3.4865172733012151E-2</v>
          </cell>
          <cell r="AD95">
            <v>5.558633102691346E-2</v>
          </cell>
          <cell r="AE95">
            <v>9.7773276186208347E-2</v>
          </cell>
        </row>
        <row r="96">
          <cell r="D96" t="str">
            <v>EUR</v>
          </cell>
          <cell r="N96" t="str">
            <v/>
          </cell>
          <cell r="O96">
            <v>8.2342876691621214E-4</v>
          </cell>
          <cell r="P96">
            <v>3.4606568338814148E-3</v>
          </cell>
          <cell r="Q96">
            <v>1.0078644592176E-2</v>
          </cell>
          <cell r="R96">
            <v>1.9037352896351001E-2</v>
          </cell>
          <cell r="S96" t="str">
            <v/>
          </cell>
          <cell r="T96">
            <v>4.247791035973647E-2</v>
          </cell>
          <cell r="U96">
            <v>6.9673509902647424E-2</v>
          </cell>
          <cell r="V96">
            <v>0.11727397906890991</v>
          </cell>
          <cell r="W96" t="str">
            <v/>
          </cell>
          <cell r="X96">
            <v>9.4100424795140469E-4</v>
          </cell>
          <cell r="Y96">
            <v>3.6618681667324182E-3</v>
          </cell>
          <cell r="Z96">
            <v>1.0577815251505251E-2</v>
          </cell>
          <cell r="AA96">
            <v>1.9979402211943276E-2</v>
          </cell>
          <cell r="AB96" t="str">
            <v/>
          </cell>
          <cell r="AC96">
            <v>4.4564739726809299E-2</v>
          </cell>
          <cell r="AD96">
            <v>7.3056522789913703E-2</v>
          </cell>
          <cell r="AE96">
            <v>0.12285540702287101</v>
          </cell>
        </row>
        <row r="97">
          <cell r="D97" t="str">
            <v>EUR</v>
          </cell>
          <cell r="N97" t="str">
            <v/>
          </cell>
          <cell r="O97">
            <v>3.5298073341860636E-4</v>
          </cell>
          <cell r="P97">
            <v>1.0156915748593676E-3</v>
          </cell>
          <cell r="Q97">
            <v>3.373597070148171E-3</v>
          </cell>
          <cell r="R97">
            <v>7.132502399384677E-3</v>
          </cell>
          <cell r="S97" t="str">
            <v/>
          </cell>
          <cell r="T97">
            <v>1.8945925804614627E-2</v>
          </cell>
          <cell r="U97">
            <v>3.3892675729570776E-2</v>
          </cell>
          <cell r="V97">
            <v>6.0889340903988898E-2</v>
          </cell>
          <cell r="W97" t="str">
            <v/>
          </cell>
          <cell r="X97">
            <v>4.7061295331773945E-4</v>
          </cell>
          <cell r="Y97">
            <v>1.2172868200731601E-3</v>
          </cell>
          <cell r="Z97">
            <v>3.7420954075987334E-3</v>
          </cell>
          <cell r="AA97">
            <v>7.6666318262728073E-3</v>
          </cell>
          <cell r="AB97" t="str">
            <v/>
          </cell>
          <cell r="AC97">
            <v>1.9852644152935417E-2</v>
          </cell>
          <cell r="AD97">
            <v>3.5537007756944461E-2</v>
          </cell>
          <cell r="AE97">
            <v>6.3827684797867157E-2</v>
          </cell>
        </row>
        <row r="98">
          <cell r="D98" t="str">
            <v>EUR</v>
          </cell>
          <cell r="N98" t="str">
            <v/>
          </cell>
          <cell r="O98">
            <v>1.9398599456070809E-3</v>
          </cell>
          <cell r="P98">
            <v>5.1252391843702449E-3</v>
          </cell>
          <cell r="Q98">
            <v>1.1976426184707401E-2</v>
          </cell>
          <cell r="R98">
            <v>1.9051182530354982E-2</v>
          </cell>
          <cell r="S98" t="str">
            <v/>
          </cell>
          <cell r="T98">
            <v>3.6759319660346845E-2</v>
          </cell>
          <cell r="U98">
            <v>5.5509451609813354E-2</v>
          </cell>
          <cell r="V98">
            <v>8.4988354920911946E-2</v>
          </cell>
          <cell r="W98" t="str">
            <v/>
          </cell>
          <cell r="X98">
            <v>2.0572957967218697E-3</v>
          </cell>
          <cell r="Y98">
            <v>5.3802615121524289E-3</v>
          </cell>
          <cell r="Z98">
            <v>1.2571813740434146E-2</v>
          </cell>
          <cell r="AA98">
            <v>1.9995057265573823E-2</v>
          </cell>
          <cell r="AB98" t="str">
            <v/>
          </cell>
          <cell r="AC98">
            <v>3.8567227778797508E-2</v>
          </cell>
          <cell r="AD98">
            <v>5.8213833079576949E-2</v>
          </cell>
          <cell r="AE98">
            <v>8.9070639899303194E-2</v>
          </cell>
        </row>
        <row r="99">
          <cell r="D99" t="str">
            <v>EUR</v>
          </cell>
          <cell r="N99" t="str">
            <v/>
          </cell>
          <cell r="O99">
            <v>4.7061340958476361E-4</v>
          </cell>
          <cell r="P99">
            <v>1.4224212190881991E-3</v>
          </cell>
          <cell r="Q99">
            <v>4.4922095327908362E-3</v>
          </cell>
          <cell r="R99">
            <v>7.6168264407817654E-3</v>
          </cell>
          <cell r="S99" t="str">
            <v/>
          </cell>
          <cell r="T99">
            <v>1.8858402310388045E-2</v>
          </cell>
          <cell r="U99">
            <v>3.1071190418961336E-2</v>
          </cell>
          <cell r="V99">
            <v>5.329383332293125E-2</v>
          </cell>
          <cell r="W99" t="str">
            <v/>
          </cell>
          <cell r="X99">
            <v>5.8823155392451199E-4</v>
          </cell>
          <cell r="Y99">
            <v>1.6239482287041529E-3</v>
          </cell>
          <cell r="Z99">
            <v>4.8603470128968373E-3</v>
          </cell>
          <cell r="AA99">
            <v>8.1505038788247663E-3</v>
          </cell>
          <cell r="AB99" t="str">
            <v/>
          </cell>
          <cell r="AC99">
            <v>1.9764841150333501E-2</v>
          </cell>
          <cell r="AD99">
            <v>3.2580823881962373E-2</v>
          </cell>
          <cell r="AE99">
            <v>5.5867490680912346E-2</v>
          </cell>
        </row>
        <row r="100">
          <cell r="D100" t="str">
            <v>EUR</v>
          </cell>
          <cell r="N100" t="str">
            <v/>
          </cell>
          <cell r="O100">
            <v>7.0583742388907744E-4</v>
          </cell>
          <cell r="P100">
            <v>3.0547219040794049E-3</v>
          </cell>
          <cell r="Q100">
            <v>8.584178125501607E-3</v>
          </cell>
          <cell r="R100">
            <v>1.8573458922412134E-2</v>
          </cell>
          <cell r="S100" t="str">
            <v/>
          </cell>
          <cell r="T100">
            <v>4.7230775134812997E-2</v>
          </cell>
          <cell r="U100">
            <v>8.1138801510036607E-2</v>
          </cell>
          <cell r="V100">
            <v>0.14184205690704177</v>
          </cell>
          <cell r="W100" t="str">
            <v/>
          </cell>
          <cell r="X100">
            <v>8.2342719960870614E-4</v>
          </cell>
          <cell r="Y100">
            <v>3.2560008761441939E-3</v>
          </cell>
          <cell r="Z100">
            <v>9.0079443166394269E-3</v>
          </cell>
          <cell r="AA100">
            <v>1.9491676272471059E-2</v>
          </cell>
          <cell r="AB100" t="str">
            <v/>
          </cell>
          <cell r="AC100">
            <v>4.9548187637270313E-2</v>
          </cell>
          <cell r="AD100">
            <v>8.5068366038181908E-2</v>
          </cell>
          <cell r="AE100">
            <v>0.14854174099407547</v>
          </cell>
        </row>
        <row r="101">
          <cell r="D101" t="str">
            <v>EUR</v>
          </cell>
          <cell r="N101" t="str">
            <v/>
          </cell>
          <cell r="O101">
            <v>4.7061340958476361E-4</v>
          </cell>
          <cell r="P101">
            <v>1.0120957209085457E-3</v>
          </cell>
          <cell r="Q101">
            <v>3.3720572714528441E-3</v>
          </cell>
          <cell r="R101">
            <v>6.5638006302503049E-3</v>
          </cell>
          <cell r="S101" t="str">
            <v/>
          </cell>
          <cell r="T101">
            <v>1.8065292848925885E-2</v>
          </cell>
          <cell r="U101">
            <v>3.1329992159820463E-2</v>
          </cell>
          <cell r="V101">
            <v>5.9559803579402493E-2</v>
          </cell>
          <cell r="W101" t="str">
            <v/>
          </cell>
          <cell r="X101">
            <v>5.8823155392451199E-4</v>
          </cell>
          <cell r="Y101">
            <v>1.2136782015391701E-3</v>
          </cell>
          <cell r="Z101">
            <v>3.7405505500123226E-3</v>
          </cell>
          <cell r="AA101">
            <v>7.098105425095369E-3</v>
          </cell>
          <cell r="AB101" t="str">
            <v/>
          </cell>
          <cell r="AC101">
            <v>1.8925669939722112E-2</v>
          </cell>
          <cell r="AD101">
            <v>3.282561553722696E-2</v>
          </cell>
          <cell r="AE101">
            <v>6.2434578138544472E-2</v>
          </cell>
        </row>
        <row r="102">
          <cell r="D102" t="str">
            <v>EUR</v>
          </cell>
          <cell r="N102" t="str">
            <v/>
          </cell>
          <cell r="O102">
            <v>5.8823230557913941E-4</v>
          </cell>
          <cell r="P102">
            <v>1.0092775173019541E-3</v>
          </cell>
          <cell r="Q102">
            <v>3.3693718486148549E-3</v>
          </cell>
          <cell r="R102">
            <v>7.1261788833826278E-3</v>
          </cell>
          <cell r="S102" t="str">
            <v/>
          </cell>
          <cell r="T102">
            <v>1.8005211470009108E-2</v>
          </cell>
          <cell r="U102">
            <v>3.1289000191555782E-2</v>
          </cell>
          <cell r="V102">
            <v>4.9320831911941032E-2</v>
          </cell>
          <cell r="W102" t="str">
            <v/>
          </cell>
          <cell r="X102">
            <v>7.0583630213449933E-4</v>
          </cell>
          <cell r="Y102">
            <v>1.2108565538985205E-3</v>
          </cell>
          <cell r="Z102">
            <v>3.7378598219922621E-3</v>
          </cell>
          <cell r="AA102">
            <v>7.6602906247977831E-3</v>
          </cell>
          <cell r="AB102" t="str">
            <v/>
          </cell>
          <cell r="AC102">
            <v>1.88653764929817E-2</v>
          </cell>
          <cell r="AD102">
            <v>3.2806158826913401E-2</v>
          </cell>
          <cell r="AE102">
            <v>5.169322574693902E-2</v>
          </cell>
        </row>
        <row r="103">
          <cell r="D103" t="str">
            <v>EUR</v>
          </cell>
          <cell r="N103" t="str">
            <v/>
          </cell>
          <cell r="O103">
            <v>3.5298073341860636E-4</v>
          </cell>
          <cell r="P103">
            <v>2.2458180625392066E-3</v>
          </cell>
          <cell r="Q103">
            <v>5.592581996368029E-3</v>
          </cell>
          <cell r="R103">
            <v>1.0905510826810683E-2</v>
          </cell>
          <cell r="S103" t="str">
            <v/>
          </cell>
          <cell r="T103">
            <v>2.5893506291545187E-2</v>
          </cell>
          <cell r="U103">
            <v>4.4708803939628838E-2</v>
          </cell>
          <cell r="V103">
            <v>7.9601058296869365E-2</v>
          </cell>
          <cell r="W103" t="str">
            <v/>
          </cell>
          <cell r="X103">
            <v>4.7061295331773945E-4</v>
          </cell>
          <cell r="Y103">
            <v>2.447246344793208E-3</v>
          </cell>
          <cell r="Z103">
            <v>5.9602926243533805E-3</v>
          </cell>
          <cell r="AA103">
            <v>1.1437790769815992E-2</v>
          </cell>
          <cell r="AB103" t="str">
            <v/>
          </cell>
          <cell r="AC103">
            <v>2.7169253601022847E-2</v>
          </cell>
          <cell r="AD103">
            <v>4.6896871888982061E-2</v>
          </cell>
          <cell r="AE103">
            <v>8.346059978808118E-2</v>
          </cell>
        </row>
        <row r="104">
          <cell r="D104" t="str">
            <v>EUR</v>
          </cell>
          <cell r="N104" t="str">
            <v/>
          </cell>
          <cell r="O104">
            <v>3.5298073341860636E-4</v>
          </cell>
          <cell r="P104">
            <v>1.0156915748593676E-3</v>
          </cell>
          <cell r="Q104">
            <v>3.373597070148171E-3</v>
          </cell>
          <cell r="R104">
            <v>7.132502399384677E-3</v>
          </cell>
          <cell r="S104" t="str">
            <v/>
          </cell>
          <cell r="T104">
            <v>1.8945925804614627E-2</v>
          </cell>
          <cell r="U104">
            <v>3.3892675729570776E-2</v>
          </cell>
          <cell r="V104">
            <v>6.0889340903988898E-2</v>
          </cell>
          <cell r="W104" t="str">
            <v/>
          </cell>
          <cell r="X104">
            <v>4.7061295331773945E-4</v>
          </cell>
          <cell r="Y104">
            <v>1.2172868200731601E-3</v>
          </cell>
          <cell r="Z104">
            <v>3.7420954075987334E-3</v>
          </cell>
          <cell r="AA104">
            <v>7.6666318262728073E-3</v>
          </cell>
          <cell r="AB104" t="str">
            <v/>
          </cell>
          <cell r="AC104">
            <v>1.9852644152935417E-2</v>
          </cell>
          <cell r="AD104">
            <v>3.5537007756944461E-2</v>
          </cell>
          <cell r="AE104">
            <v>6.3827684797867157E-2</v>
          </cell>
        </row>
        <row r="105">
          <cell r="D105" t="str">
            <v>EUR</v>
          </cell>
          <cell r="N105" t="str">
            <v/>
          </cell>
          <cell r="O105">
            <v>1.0585701367545886E-3</v>
          </cell>
          <cell r="P105">
            <v>1.8153579930627606E-3</v>
          </cell>
          <cell r="Q105">
            <v>6.7401227082872772E-3</v>
          </cell>
          <cell r="R105">
            <v>1.4225903945556784E-2</v>
          </cell>
          <cell r="S105" t="str">
            <v/>
          </cell>
          <cell r="T105">
            <v>3.8615309005143539E-2</v>
          </cell>
          <cell r="U105">
            <v>6.6889563470720614E-2</v>
          </cell>
          <cell r="V105">
            <v>0.11136683099144618</v>
          </cell>
          <cell r="W105" t="str">
            <v/>
          </cell>
          <cell r="X105">
            <v>1.1761168038567638E-3</v>
          </cell>
          <cell r="Y105">
            <v>2.016770978406135E-3</v>
          </cell>
          <cell r="Z105">
            <v>7.1076003742251981E-3</v>
          </cell>
          <cell r="AA105">
            <v>1.4926322619330135E-2</v>
          </cell>
          <cell r="AB105" t="str">
            <v/>
          </cell>
          <cell r="AC105">
            <v>4.0511133070740724E-2</v>
          </cell>
          <cell r="AD105">
            <v>7.0143508468543003E-2</v>
          </cell>
          <cell r="AE105">
            <v>0.11667971314697645</v>
          </cell>
        </row>
        <row r="106">
          <cell r="D106" t="str">
            <v>EUR</v>
          </cell>
          <cell r="N106" t="str">
            <v/>
          </cell>
          <cell r="O106">
            <v>3.5298073341860636E-4</v>
          </cell>
          <cell r="P106">
            <v>1.0156915748593676E-3</v>
          </cell>
          <cell r="Q106">
            <v>4.5162941892838981E-3</v>
          </cell>
          <cell r="R106">
            <v>8.7619064501087696E-3</v>
          </cell>
          <cell r="S106" t="str">
            <v/>
          </cell>
          <cell r="T106">
            <v>2.3456858573985939E-2</v>
          </cell>
          <cell r="U106">
            <v>4.2626801601451048E-2</v>
          </cell>
          <cell r="V106">
            <v>7.8733190609869941E-2</v>
          </cell>
          <cell r="W106" t="str">
            <v/>
          </cell>
          <cell r="X106">
            <v>4.7061295331773945E-4</v>
          </cell>
          <cell r="Y106">
            <v>1.2172868200731601E-3</v>
          </cell>
          <cell r="Z106">
            <v>4.8845121411535963E-3</v>
          </cell>
          <cell r="AA106">
            <v>9.2952713529557141E-3</v>
          </cell>
          <cell r="AB106" t="str">
            <v/>
          </cell>
          <cell r="AC106">
            <v>2.4595201697532043E-2</v>
          </cell>
          <cell r="AD106">
            <v>4.4702830396828763E-2</v>
          </cell>
          <cell r="AE106">
            <v>8.2530346042216651E-2</v>
          </cell>
        </row>
        <row r="107">
          <cell r="D107" t="str">
            <v>EUR</v>
          </cell>
          <cell r="N107" t="str">
            <v/>
          </cell>
          <cell r="O107">
            <v>8.2342876691621214E-4</v>
          </cell>
          <cell r="P107">
            <v>2.2318744509897126E-3</v>
          </cell>
          <cell r="Q107">
            <v>7.4871506912410624E-3</v>
          </cell>
          <cell r="R107">
            <v>1.5866667630694997E-2</v>
          </cell>
          <cell r="S107" t="str">
            <v/>
          </cell>
          <cell r="T107">
            <v>4.3951601095804205E-2</v>
          </cell>
          <cell r="U107">
            <v>7.3961842840870373E-2</v>
          </cell>
          <cell r="V107">
            <v>0.12484421789835021</v>
          </cell>
          <cell r="W107" t="str">
            <v/>
          </cell>
          <cell r="X107">
            <v>9.4100424795140469E-4</v>
          </cell>
          <cell r="Y107">
            <v>2.4332518078210574E-3</v>
          </cell>
          <cell r="Z107">
            <v>7.8543757142207626E-3</v>
          </cell>
          <cell r="AA107">
            <v>1.6650145409727091E-2</v>
          </cell>
          <cell r="AB107" t="str">
            <v/>
          </cell>
          <cell r="AC107">
            <v>4.6109588257717271E-2</v>
          </cell>
          <cell r="AD107">
            <v>7.7551596029075909E-2</v>
          </cell>
          <cell r="AE107">
            <v>0.13076994963843402</v>
          </cell>
        </row>
        <row r="108">
          <cell r="D108" t="str">
            <v>EUR</v>
          </cell>
          <cell r="N108" t="str">
            <v/>
          </cell>
          <cell r="O108">
            <v>4.7061340958476361E-4</v>
          </cell>
          <cell r="P108">
            <v>1.8325206103344538E-3</v>
          </cell>
          <cell r="Q108">
            <v>5.2267332050037751E-3</v>
          </cell>
          <cell r="R108">
            <v>9.2550798794751588E-3</v>
          </cell>
          <cell r="S108" t="str">
            <v/>
          </cell>
          <cell r="T108">
            <v>2.2381632505259486E-2</v>
          </cell>
          <cell r="U108">
            <v>3.5864247207541777E-2</v>
          </cell>
          <cell r="V108">
            <v>5.9898378843788458E-2</v>
          </cell>
          <cell r="W108" t="str">
            <v/>
          </cell>
          <cell r="X108">
            <v>5.8823155392451199E-4</v>
          </cell>
          <cell r="Y108">
            <v>2.0339921687133611E-3</v>
          </cell>
          <cell r="Z108">
            <v>5.594609537902473E-3</v>
          </cell>
          <cell r="AA108">
            <v>9.7880184419169014E-3</v>
          </cell>
          <cell r="AB108" t="str">
            <v/>
          </cell>
          <cell r="AC108">
            <v>2.3472566029238973E-2</v>
          </cell>
          <cell r="AD108">
            <v>3.7614251189173165E-2</v>
          </cell>
          <cell r="AE108">
            <v>6.2801051728235802E-2</v>
          </cell>
        </row>
        <row r="109">
          <cell r="D109" t="str">
            <v>EUR</v>
          </cell>
          <cell r="N109" t="str">
            <v/>
          </cell>
          <cell r="O109">
            <v>9.4100633706173387E-4</v>
          </cell>
          <cell r="P109">
            <v>1.6138987049141296E-3</v>
          </cell>
          <cell r="Q109">
            <v>6.3725085588677288E-3</v>
          </cell>
          <cell r="R109">
            <v>1.2563288836881514E-2</v>
          </cell>
          <cell r="S109" t="str">
            <v/>
          </cell>
          <cell r="T109">
            <v>3.7919184516906124E-2</v>
          </cell>
          <cell r="U109">
            <v>6.5823428654855909E-2</v>
          </cell>
          <cell r="V109">
            <v>0.11399398215304823</v>
          </cell>
          <cell r="W109" t="str">
            <v/>
          </cell>
          <cell r="X109">
            <v>1.0585674487949559E-3</v>
          </cell>
          <cell r="Y109">
            <v>1.815353387123575E-3</v>
          </cell>
          <cell r="Z109">
            <v>6.740122166288165E-3</v>
          </cell>
          <cell r="AA109">
            <v>1.3179782938892881E-2</v>
          </cell>
          <cell r="AB109" t="str">
            <v/>
          </cell>
          <cell r="AC109">
            <v>3.9781962180993502E-2</v>
          </cell>
          <cell r="AD109">
            <v>6.9026611373250613E-2</v>
          </cell>
          <cell r="AE109">
            <v>0.11943761053451563</v>
          </cell>
        </row>
        <row r="110">
          <cell r="D110" t="str">
            <v>EUR</v>
          </cell>
          <cell r="N110" t="str">
            <v/>
          </cell>
          <cell r="O110">
            <v>1.8811313652714601E-3</v>
          </cell>
          <cell r="P110">
            <v>3.8380588661446335E-3</v>
          </cell>
          <cell r="Q110">
            <v>8.9008870316632516E-3</v>
          </cell>
          <cell r="R110">
            <v>1.4565223773973068E-2</v>
          </cell>
          <cell r="S110" t="str">
            <v/>
          </cell>
          <cell r="T110">
            <v>2.9045783144187154E-2</v>
          </cell>
          <cell r="U110">
            <v>4.4371852656723165E-2</v>
          </cell>
          <cell r="V110">
            <v>7.0742326751350282E-2</v>
          </cell>
          <cell r="W110" t="str">
            <v/>
          </cell>
          <cell r="X110">
            <v>1.9985747439534851E-3</v>
          </cell>
          <cell r="Y110">
            <v>4.0390981183110464E-3</v>
          </cell>
          <cell r="Z110">
            <v>9.3433911108494749E-3</v>
          </cell>
          <cell r="AA110">
            <v>1.5287678548561834E-2</v>
          </cell>
          <cell r="AB110" t="str">
            <v/>
          </cell>
          <cell r="AC110">
            <v>3.0478694461554934E-2</v>
          </cell>
          <cell r="AD110">
            <v>4.6545155446763964E-2</v>
          </cell>
          <cell r="AE110">
            <v>7.4168572972566849E-2</v>
          </cell>
        </row>
        <row r="111">
          <cell r="D111" t="str">
            <v>EUR</v>
          </cell>
          <cell r="N111" t="str">
            <v/>
          </cell>
          <cell r="O111">
            <v>8.2342876691621214E-4</v>
          </cell>
          <cell r="P111">
            <v>2.8465196034316298E-3</v>
          </cell>
          <cell r="Q111">
            <v>9.3484363887806898E-3</v>
          </cell>
          <cell r="R111">
            <v>1.9669585554483171E-2</v>
          </cell>
          <cell r="S111" t="str">
            <v/>
          </cell>
          <cell r="T111">
            <v>4.9886581084836013E-2</v>
          </cell>
          <cell r="U111">
            <v>8.5935569257326039E-2</v>
          </cell>
          <cell r="V111">
            <v>0.1481621210676104</v>
          </cell>
          <cell r="W111" t="str">
            <v/>
          </cell>
          <cell r="X111">
            <v>9.4100424795140469E-4</v>
          </cell>
          <cell r="Y111">
            <v>3.0478139257948955E-3</v>
          </cell>
          <cell r="Z111">
            <v>9.8103109106891795E-3</v>
          </cell>
          <cell r="AA111">
            <v>2.0641800500786123E-2</v>
          </cell>
          <cell r="AB111" t="str">
            <v/>
          </cell>
          <cell r="AC111">
            <v>5.2329943320532868E-2</v>
          </cell>
          <cell r="AD111">
            <v>9.0090081406438705E-2</v>
          </cell>
          <cell r="AE111">
            <v>0.15513687167434842</v>
          </cell>
        </row>
        <row r="112">
          <cell r="D112" t="str">
            <v>EUR</v>
          </cell>
          <cell r="N112" t="str">
            <v/>
          </cell>
          <cell r="O112">
            <v>1.4111789373691952E-3</v>
          </cell>
          <cell r="P112">
            <v>3.4431525528769713E-3</v>
          </cell>
          <cell r="Q112">
            <v>1.1587964981512711E-2</v>
          </cell>
          <cell r="R112">
            <v>2.2298842022660414E-2</v>
          </cell>
          <cell r="S112" t="str">
            <v/>
          </cell>
          <cell r="T112">
            <v>4.4851991336675612E-2</v>
          </cell>
          <cell r="U112">
            <v>7.4277711923350642E-2</v>
          </cell>
          <cell r="V112">
            <v>0.13306972199037626</v>
          </cell>
          <cell r="W112" t="str">
            <v/>
          </cell>
          <cell r="X112">
            <v>1.5286818104438549E-3</v>
          </cell>
          <cell r="Y112">
            <v>3.6442988133077447E-3</v>
          </cell>
          <cell r="Z112">
            <v>1.2162479452711317E-2</v>
          </cell>
          <cell r="AA112">
            <v>2.340176713111497E-2</v>
          </cell>
          <cell r="AB112" t="str">
            <v/>
          </cell>
          <cell r="AC112">
            <v>4.7050350733778945E-2</v>
          </cell>
          <cell r="AD112">
            <v>7.7897750766785179E-2</v>
          </cell>
          <cell r="AE112">
            <v>0.13936646820738163</v>
          </cell>
        </row>
        <row r="113">
          <cell r="D113" t="str">
            <v>EUR</v>
          </cell>
          <cell r="N113" t="str">
            <v/>
          </cell>
          <cell r="O113">
            <v>2.116025062917859E-3</v>
          </cell>
          <cell r="P113">
            <v>4.2400963005428949E-3</v>
          </cell>
          <cell r="Q113">
            <v>8.4931684784033123E-3</v>
          </cell>
          <cell r="R113">
            <v>1.4563474051236924E-2</v>
          </cell>
          <cell r="S113" t="str">
            <v/>
          </cell>
          <cell r="T113">
            <v>3.3674379780990749E-2</v>
          </cell>
          <cell r="U113">
            <v>5.6524584838238745E-2</v>
          </cell>
          <cell r="V113">
            <v>9.9713548962372722E-2</v>
          </cell>
          <cell r="W113" t="str">
            <v/>
          </cell>
          <cell r="X113">
            <v>2.2334382080247961E-3</v>
          </cell>
          <cell r="Y113">
            <v>4.4512890237272673E-3</v>
          </cell>
          <cell r="Z113">
            <v>8.9160025821544142E-3</v>
          </cell>
          <cell r="AA113">
            <v>1.528657293319613E-2</v>
          </cell>
          <cell r="AB113" t="str">
            <v/>
          </cell>
          <cell r="AC113">
            <v>3.5335812508259568E-2</v>
          </cell>
          <cell r="AD113">
            <v>5.9286318130780891E-2</v>
          </cell>
          <cell r="AE113">
            <v>0.10450551783057715</v>
          </cell>
        </row>
        <row r="114">
          <cell r="D114" t="str">
            <v>EUR</v>
          </cell>
          <cell r="N114" t="str">
            <v/>
          </cell>
          <cell r="O114">
            <v>7.0583742388907744E-4</v>
          </cell>
          <cell r="P114">
            <v>1.6203553656132241E-3</v>
          </cell>
          <cell r="Q114">
            <v>5.240114054658962E-3</v>
          </cell>
          <cell r="R114">
            <v>1.0384717920422615E-2</v>
          </cell>
          <cell r="S114" t="str">
            <v/>
          </cell>
          <cell r="T114">
            <v>2.6949983360335716E-2</v>
          </cell>
          <cell r="U114">
            <v>4.6014236064543468E-2</v>
          </cell>
          <cell r="V114">
            <v>8.7488509716368235E-2</v>
          </cell>
          <cell r="W114" t="str">
            <v/>
          </cell>
          <cell r="X114">
            <v>8.2342719960870614E-4</v>
          </cell>
          <cell r="Y114">
            <v>1.821828632852851E-3</v>
          </cell>
          <cell r="Z114">
            <v>5.6080169511395495E-3</v>
          </cell>
          <cell r="AA114">
            <v>1.0917293122402971E-2</v>
          </cell>
          <cell r="AB114" t="str">
            <v/>
          </cell>
          <cell r="AC114">
            <v>2.8270822292461473E-2</v>
          </cell>
          <cell r="AD114">
            <v>4.826109666875289E-2</v>
          </cell>
          <cell r="AE114">
            <v>9.1714854377564659E-2</v>
          </cell>
        </row>
        <row r="115">
          <cell r="D115" t="str">
            <v>EUR</v>
          </cell>
          <cell r="N115" t="str">
            <v/>
          </cell>
          <cell r="O115">
            <v>1.0585701367545886E-3</v>
          </cell>
          <cell r="P115">
            <v>2.0196007985324727E-3</v>
          </cell>
          <cell r="Q115">
            <v>6.7328788018000685E-3</v>
          </cell>
          <cell r="R115">
            <v>1.139493581320894E-2</v>
          </cell>
          <cell r="S115" t="str">
            <v/>
          </cell>
          <cell r="T115">
            <v>2.9614531503692199E-2</v>
          </cell>
          <cell r="U115">
            <v>5.0870925720800764E-2</v>
          </cell>
          <cell r="V115">
            <v>9.2117256047173024E-2</v>
          </cell>
          <cell r="W115" t="str">
            <v/>
          </cell>
          <cell r="X115">
            <v>1.1761168038567638E-3</v>
          </cell>
          <cell r="Y115">
            <v>2.2209798623785693E-3</v>
          </cell>
          <cell r="Z115">
            <v>7.1003184774716122E-3</v>
          </cell>
          <cell r="AA115">
            <v>1.1955094510662789E-2</v>
          </cell>
          <cell r="AB115" t="str">
            <v/>
          </cell>
          <cell r="AC115">
            <v>3.1071276442571905E-2</v>
          </cell>
          <cell r="AD115">
            <v>5.3357874119617899E-2</v>
          </cell>
          <cell r="AE115">
            <v>9.6556269125790073E-2</v>
          </cell>
        </row>
        <row r="116">
          <cell r="D116" t="str">
            <v>EUR</v>
          </cell>
          <cell r="N116" t="str">
            <v/>
          </cell>
          <cell r="O116">
            <v>5.8823230557913941E-4</v>
          </cell>
          <cell r="P116">
            <v>1.4188416515668045E-3</v>
          </cell>
          <cell r="Q116">
            <v>4.4913629325150639E-3</v>
          </cell>
          <cell r="R116">
            <v>9.8734462293066372E-3</v>
          </cell>
          <cell r="S116" t="str">
            <v/>
          </cell>
          <cell r="T116">
            <v>2.6092330030474176E-2</v>
          </cell>
          <cell r="U116">
            <v>4.3504361468853392E-2</v>
          </cell>
          <cell r="V116">
            <v>8.4164102154035803E-2</v>
          </cell>
          <cell r="W116" t="str">
            <v/>
          </cell>
          <cell r="X116">
            <v>7.0583630213449933E-4</v>
          </cell>
          <cell r="Y116">
            <v>1.6203554628971828E-3</v>
          </cell>
          <cell r="Z116">
            <v>4.8594953973825072E-3</v>
          </cell>
          <cell r="AA116">
            <v>1.0406378538608041E-2</v>
          </cell>
          <cell r="AB116" t="str">
            <v/>
          </cell>
          <cell r="AC116">
            <v>2.7369808295400699E-2</v>
          </cell>
          <cell r="AD116">
            <v>4.5622656813135265E-2</v>
          </cell>
          <cell r="AE116">
            <v>8.8232578511087456E-2</v>
          </cell>
        </row>
        <row r="117">
          <cell r="D117" t="str">
            <v>EUR</v>
          </cell>
          <cell r="N117" t="str">
            <v/>
          </cell>
          <cell r="O117">
            <v>2.3533427473454438E-4</v>
          </cell>
          <cell r="P117">
            <v>1.0192455533220013E-3</v>
          </cell>
          <cell r="Q117">
            <v>3.7555256192154385E-3</v>
          </cell>
          <cell r="R117">
            <v>8.2446671693005014E-3</v>
          </cell>
          <cell r="S117" t="str">
            <v/>
          </cell>
          <cell r="T117">
            <v>2.0689361400891393E-2</v>
          </cell>
          <cell r="U117">
            <v>3.4927685869413971E-2</v>
          </cell>
          <cell r="V117">
            <v>6.2408479207001766E-2</v>
          </cell>
          <cell r="W117" t="str">
            <v/>
          </cell>
          <cell r="X117">
            <v>3.5298049865262193E-4</v>
          </cell>
          <cell r="Y117">
            <v>1.2208537424306387E-3</v>
          </cell>
          <cell r="Z117">
            <v>4.1239356948976624E-3</v>
          </cell>
          <cell r="AA117">
            <v>8.7783664169903686E-3</v>
          </cell>
          <cell r="AB117" t="str">
            <v/>
          </cell>
          <cell r="AC117">
            <v>2.1689001218092585E-2</v>
          </cell>
          <cell r="AD117">
            <v>3.6624726966610455E-2</v>
          </cell>
          <cell r="AE117">
            <v>6.5426908323910737E-2</v>
          </cell>
        </row>
        <row r="118">
          <cell r="D118" t="str">
            <v>EUR</v>
          </cell>
          <cell r="N118" t="str">
            <v/>
          </cell>
          <cell r="O118">
            <v>7.0583742388907744E-4</v>
          </cell>
          <cell r="P118">
            <v>1.8254343260272199E-3</v>
          </cell>
          <cell r="Q118">
            <v>6.3705647759617623E-3</v>
          </cell>
          <cell r="R118">
            <v>1.3133013698367391E-2</v>
          </cell>
          <cell r="S118" t="str">
            <v/>
          </cell>
          <cell r="T118">
            <v>3.4080447442536244E-2</v>
          </cell>
          <cell r="U118">
            <v>6.0917000235163887E-2</v>
          </cell>
          <cell r="V118">
            <v>0.11312916820515884</v>
          </cell>
          <cell r="W118" t="str">
            <v/>
          </cell>
          <cell r="X118">
            <v>8.2342719960870614E-4</v>
          </cell>
          <cell r="Y118">
            <v>2.0268798220722806E-3</v>
          </cell>
          <cell r="Z118">
            <v>6.7381499081161644E-3</v>
          </cell>
          <cell r="AA118">
            <v>1.3777229889441411E-2</v>
          </cell>
          <cell r="AB118" t="str">
            <v/>
          </cell>
          <cell r="AC118">
            <v>3.5755359794659158E-2</v>
          </cell>
          <cell r="AD118">
            <v>6.3885202363445082E-2</v>
          </cell>
          <cell r="AE118">
            <v>0.11854541866504631</v>
          </cell>
        </row>
        <row r="119">
          <cell r="D119" t="str">
            <v>EUR</v>
          </cell>
          <cell r="N119" t="str">
            <v/>
          </cell>
          <cell r="O119">
            <v>1.3406670871113358E-3</v>
          </cell>
          <cell r="P119">
            <v>3.3224455523571672E-3</v>
          </cell>
          <cell r="Q119">
            <v>8.7838682572192184E-3</v>
          </cell>
          <cell r="R119">
            <v>1.5845646047529027E-2</v>
          </cell>
          <cell r="S119" t="str">
            <v/>
          </cell>
          <cell r="T119">
            <v>3.5469261019733023E-2</v>
          </cell>
          <cell r="U119">
            <v>5.356387753935743E-2</v>
          </cell>
          <cell r="V119">
            <v>8.0293095495867828E-2</v>
          </cell>
          <cell r="W119" t="str">
            <v/>
          </cell>
          <cell r="X119">
            <v>1.4581787747859343E-3</v>
          </cell>
          <cell r="Y119">
            <v>3.5236159899748598E-3</v>
          </cell>
          <cell r="Z119">
            <v>9.2190453920866222E-3</v>
          </cell>
          <cell r="AA119">
            <v>1.6630137608647289E-2</v>
          </cell>
          <cell r="AB119" t="str">
            <v/>
          </cell>
          <cell r="AC119">
            <v>3.7214915505261903E-2</v>
          </cell>
          <cell r="AD119">
            <v>5.6177506891201823E-2</v>
          </cell>
          <cell r="AE119">
            <v>8.415757833909121E-2</v>
          </cell>
        </row>
        <row r="120">
          <cell r="D120" t="str">
            <v>EUR</v>
          </cell>
          <cell r="N120" t="str">
            <v/>
          </cell>
          <cell r="O120">
            <v>1.3524194061996786E-3</v>
          </cell>
          <cell r="P120">
            <v>3.6701481797429825E-3</v>
          </cell>
          <cell r="Q120">
            <v>1.0432744395999949E-2</v>
          </cell>
          <cell r="R120">
            <v>1.8995315771529242E-2</v>
          </cell>
          <cell r="S120" t="str">
            <v/>
          </cell>
          <cell r="T120">
            <v>4.0620578708481236E-2</v>
          </cell>
          <cell r="U120">
            <v>6.3201332464938309E-2</v>
          </cell>
          <cell r="V120">
            <v>9.7145057233841925E-2</v>
          </cell>
          <cell r="W120" t="str">
            <v/>
          </cell>
          <cell r="X120">
            <v>1.469929626734201E-3</v>
          </cell>
          <cell r="Y120">
            <v>3.8712697541007923E-3</v>
          </cell>
          <cell r="Z120">
            <v>1.0951161564709655E-2</v>
          </cell>
          <cell r="AA120">
            <v>1.9935790208543525E-2</v>
          </cell>
          <cell r="AB120" t="str">
            <v/>
          </cell>
          <cell r="AC120">
            <v>4.2617000633239588E-2</v>
          </cell>
          <cell r="AD120">
            <v>6.6273770411026556E-2</v>
          </cell>
          <cell r="AE120">
            <v>0.10178972388410457</v>
          </cell>
        </row>
        <row r="121">
          <cell r="D121" t="str">
            <v>EUR</v>
          </cell>
          <cell r="N121" t="str">
            <v/>
          </cell>
          <cell r="O121">
            <v>3.5298073341860636E-4</v>
          </cell>
          <cell r="P121">
            <v>6.0599386093529439E-4</v>
          </cell>
          <cell r="Q121">
            <v>2.6319870233595388E-3</v>
          </cell>
          <cell r="R121">
            <v>5.4906936531087247E-3</v>
          </cell>
          <cell r="S121" t="str">
            <v/>
          </cell>
          <cell r="T121">
            <v>1.5399163583588615E-2</v>
          </cell>
          <cell r="U121">
            <v>2.7713907214462097E-2</v>
          </cell>
          <cell r="V121">
            <v>5.0502649602034877E-2</v>
          </cell>
          <cell r="W121" t="str">
            <v/>
          </cell>
          <cell r="X121">
            <v>4.7061295331773945E-4</v>
          </cell>
          <cell r="Y121">
            <v>8.0765519981518263E-4</v>
          </cell>
          <cell r="Z121">
            <v>3.0007474895722419E-3</v>
          </cell>
          <cell r="AA121">
            <v>6.0255645128544089E-3</v>
          </cell>
          <cell r="AB121" t="str">
            <v/>
          </cell>
          <cell r="AC121">
            <v>1.6261562713842381E-2</v>
          </cell>
          <cell r="AD121">
            <v>2.9031635284855639E-2</v>
          </cell>
          <cell r="AE121">
            <v>5.2925820173771232E-2</v>
          </cell>
        </row>
        <row r="122">
          <cell r="D122" t="str">
            <v>EUR</v>
          </cell>
          <cell r="N122" t="str">
            <v/>
          </cell>
          <cell r="O122">
            <v>8.2342876691621214E-4</v>
          </cell>
          <cell r="P122">
            <v>2.4368126355408526E-3</v>
          </cell>
          <cell r="Q122">
            <v>7.0926963340878224E-3</v>
          </cell>
          <cell r="R122">
            <v>1.4190919267916935E-2</v>
          </cell>
          <cell r="S122" t="str">
            <v/>
          </cell>
          <cell r="T122">
            <v>3.3883362063104272E-2</v>
          </cell>
          <cell r="U122">
            <v>5.675366974699092E-2</v>
          </cell>
          <cell r="V122">
            <v>9.5950122414247052E-2</v>
          </cell>
          <cell r="W122" t="str">
            <v/>
          </cell>
          <cell r="X122">
            <v>9.4100424795140469E-4</v>
          </cell>
          <cell r="Y122">
            <v>2.6381623096690676E-3</v>
          </cell>
          <cell r="Z122">
            <v>7.4599781392162834E-3</v>
          </cell>
          <cell r="AA122">
            <v>1.4890480221281477E-2</v>
          </cell>
          <cell r="AB122" t="str">
            <v/>
          </cell>
          <cell r="AC122">
            <v>3.5547776118726615E-2</v>
          </cell>
          <cell r="AD122">
            <v>5.9522917396869324E-2</v>
          </cell>
          <cell r="AE122">
            <v>0.10055665830178284</v>
          </cell>
        </row>
        <row r="123">
          <cell r="D123" t="str">
            <v>EUR</v>
          </cell>
          <cell r="N123" t="str">
            <v/>
          </cell>
          <cell r="O123">
            <v>7.0583742388907744E-4</v>
          </cell>
          <cell r="P123">
            <v>1.6203553656132241E-3</v>
          </cell>
          <cell r="Q123">
            <v>5.240114054658962E-3</v>
          </cell>
          <cell r="R123">
            <v>1.0949384192589395E-2</v>
          </cell>
          <cell r="S123" t="str">
            <v/>
          </cell>
          <cell r="T123">
            <v>2.7821234762287705E-2</v>
          </cell>
          <cell r="U123">
            <v>4.8549559034487655E-2</v>
          </cell>
          <cell r="V123">
            <v>8.2778874179221029E-2</v>
          </cell>
          <cell r="W123" t="str">
            <v/>
          </cell>
          <cell r="X123">
            <v>8.2342719960870614E-4</v>
          </cell>
          <cell r="Y123">
            <v>1.821828632852851E-3</v>
          </cell>
          <cell r="Z123">
            <v>5.6080169511395495E-3</v>
          </cell>
          <cell r="AA123">
            <v>1.1481775460040033E-2</v>
          </cell>
          <cell r="AB123" t="str">
            <v/>
          </cell>
          <cell r="AC123">
            <v>2.9189604156688032E-2</v>
          </cell>
          <cell r="AD123">
            <v>5.0918787607948102E-2</v>
          </cell>
          <cell r="AE123">
            <v>8.6778785736504327E-2</v>
          </cell>
        </row>
        <row r="124">
          <cell r="D124" t="str">
            <v>EUR</v>
          </cell>
          <cell r="N124" t="str">
            <v/>
          </cell>
          <cell r="O124">
            <v>2.4682625182449458E-3</v>
          </cell>
          <cell r="P124">
            <v>4.2297102132068387E-3</v>
          </cell>
          <cell r="Q124">
            <v>1.417889403322603E-2</v>
          </cell>
          <cell r="R124">
            <v>3.8852825170581529E-2</v>
          </cell>
          <cell r="S124" t="str">
            <v/>
          </cell>
          <cell r="T124">
            <v>8.3755459579684999E-2</v>
          </cell>
          <cell r="U124">
            <v>0.1374009716508966</v>
          </cell>
          <cell r="V124">
            <v>0.21617817612923018</v>
          </cell>
          <cell r="W124" t="str">
            <v/>
          </cell>
          <cell r="X124">
            <v>2.5914984913087968E-3</v>
          </cell>
          <cell r="Y124">
            <v>4.4406581676131873E-3</v>
          </cell>
          <cell r="Z124">
            <v>1.4884157825194699E-2</v>
          </cell>
          <cell r="AA124">
            <v>4.0772122949615297E-2</v>
          </cell>
          <cell r="AB124" t="str">
            <v/>
          </cell>
          <cell r="AC124">
            <v>8.7806768311458283E-2</v>
          </cell>
          <cell r="AD124">
            <v>0.14389505553359849</v>
          </cell>
          <cell r="AE124">
            <v>0.22596750273959076</v>
          </cell>
        </row>
        <row r="125">
          <cell r="D125" t="str">
            <v>EUR</v>
          </cell>
          <cell r="N125" t="str">
            <v/>
          </cell>
          <cell r="O125">
            <v>1.6461826632304666E-3</v>
          </cell>
          <cell r="P125">
            <v>3.435859550890874E-3</v>
          </cell>
          <cell r="Q125">
            <v>1.1960630707458786E-2</v>
          </cell>
          <cell r="R125">
            <v>2.3949834797393987E-2</v>
          </cell>
          <cell r="S125" t="str">
            <v/>
          </cell>
          <cell r="T125">
            <v>5.6653162010776636E-2</v>
          </cell>
          <cell r="U125">
            <v>9.7578341311126526E-2</v>
          </cell>
          <cell r="V125">
            <v>0.15761152701849823</v>
          </cell>
          <cell r="W125" t="str">
            <v/>
          </cell>
          <cell r="X125">
            <v>1.7636559491273074E-3</v>
          </cell>
          <cell r="Y125">
            <v>3.6369797177154828E-3</v>
          </cell>
          <cell r="Z125">
            <v>1.2553398718471165E-2</v>
          </cell>
          <cell r="AA125">
            <v>2.5134560783563242E-2</v>
          </cell>
          <cell r="AB125" t="str">
            <v/>
          </cell>
          <cell r="AC125">
            <v>5.9423774586556455E-2</v>
          </cell>
          <cell r="AD125">
            <v>0.10227391879090586</v>
          </cell>
          <cell r="AE125">
            <v>0.16497468108268898</v>
          </cell>
        </row>
        <row r="126">
          <cell r="D126" t="str">
            <v>EUR</v>
          </cell>
          <cell r="N126" t="str">
            <v/>
          </cell>
          <cell r="O126">
            <v>3.5298073341860636E-4</v>
          </cell>
          <cell r="P126">
            <v>1.2208539223919068E-3</v>
          </cell>
          <cell r="Q126">
            <v>4.123935497890252E-3</v>
          </cell>
          <cell r="R126">
            <v>7.648423164965501E-3</v>
          </cell>
          <cell r="S126" t="str">
            <v/>
          </cell>
          <cell r="T126">
            <v>1.9801682225534245E-2</v>
          </cell>
          <cell r="U126">
            <v>3.2339928564466103E-2</v>
          </cell>
          <cell r="V126">
            <v>5.5023660883515735E-2</v>
          </cell>
          <cell r="W126" t="str">
            <v/>
          </cell>
          <cell r="X126">
            <v>4.7061295331773945E-4</v>
          </cell>
          <cell r="Y126">
            <v>1.4224213278153375E-3</v>
          </cell>
          <cell r="Z126">
            <v>4.4922097838737685E-3</v>
          </cell>
          <cell r="AA126">
            <v>8.1822034376266561E-3</v>
          </cell>
          <cell r="AB126" t="str">
            <v/>
          </cell>
          <cell r="AC126">
            <v>2.0754258109140111E-2</v>
          </cell>
          <cell r="AD126">
            <v>3.3910112555006866E-2</v>
          </cell>
          <cell r="AE126">
            <v>5.7680219282712053E-2</v>
          </cell>
        </row>
        <row r="127">
          <cell r="D127" t="str">
            <v>EUR</v>
          </cell>
          <cell r="N127" t="str">
            <v/>
          </cell>
          <cell r="O127">
            <v>5.8823230557913941E-4</v>
          </cell>
          <cell r="P127">
            <v>2.238929948600088E-3</v>
          </cell>
          <cell r="Q127">
            <v>7.105217439385636E-3</v>
          </cell>
          <cell r="R127">
            <v>1.3641800002347826E-2</v>
          </cell>
          <cell r="S127" t="str">
            <v/>
          </cell>
          <cell r="T127">
            <v>3.3981164227445571E-2</v>
          </cell>
          <cell r="U127">
            <v>5.6806706246515737E-2</v>
          </cell>
          <cell r="V127">
            <v>9.8071106659522012E-2</v>
          </cell>
          <cell r="W127" t="str">
            <v/>
          </cell>
          <cell r="X127">
            <v>7.0583630213449933E-4</v>
          </cell>
          <cell r="Y127">
            <v>2.4403324045400021E-3</v>
          </cell>
          <cell r="Z127">
            <v>7.4725469509047127E-3</v>
          </cell>
          <cell r="AA127">
            <v>1.4313606564944403E-2</v>
          </cell>
          <cell r="AB127" t="str">
            <v/>
          </cell>
          <cell r="AC127">
            <v>3.5652093094143411E-2</v>
          </cell>
          <cell r="AD127">
            <v>5.957784302676139E-2</v>
          </cell>
          <cell r="AE127">
            <v>0.10277854509873774</v>
          </cell>
        </row>
        <row r="128">
          <cell r="D128" t="str">
            <v>EUR</v>
          </cell>
          <cell r="N128" t="str">
            <v/>
          </cell>
          <cell r="O128">
            <v>1.1761201684514777E-3</v>
          </cell>
          <cell r="P128">
            <v>3.2455371452223547E-3</v>
          </cell>
          <cell r="Q128">
            <v>8.9405072195574142E-3</v>
          </cell>
          <cell r="R128">
            <v>1.6856351470665221E-2</v>
          </cell>
          <cell r="S128" t="str">
            <v/>
          </cell>
          <cell r="T128">
            <v>4.6505047419776013E-2</v>
          </cell>
          <cell r="U128">
            <v>7.7358311781463907E-2</v>
          </cell>
          <cell r="V128">
            <v>0.12363881047229486</v>
          </cell>
          <cell r="W128" t="str">
            <v/>
          </cell>
          <cell r="X128">
            <v>1.293652314683702E-3</v>
          </cell>
          <cell r="Y128">
            <v>3.4467366220021223E-3</v>
          </cell>
          <cell r="Z128">
            <v>9.3833389957745927E-3</v>
          </cell>
          <cell r="AA128">
            <v>1.7690540757743789E-2</v>
          </cell>
          <cell r="AB128" t="str">
            <v/>
          </cell>
          <cell r="AC128">
            <v>4.878935088683789E-2</v>
          </cell>
          <cell r="AD128">
            <v>8.1109189293386619E-2</v>
          </cell>
          <cell r="AE128">
            <v>0.12950190662062955</v>
          </cell>
        </row>
        <row r="129">
          <cell r="D129" t="str">
            <v>EUR</v>
          </cell>
          <cell r="N129" t="str">
            <v/>
          </cell>
          <cell r="O129">
            <v>8.2342876691621214E-4</v>
          </cell>
          <cell r="P129">
            <v>2.0268797729209309E-3</v>
          </cell>
          <cell r="Q129">
            <v>6.3576981734468907E-3</v>
          </cell>
          <cell r="R129">
            <v>1.3122910386147879E-2</v>
          </cell>
          <cell r="S129" t="str">
            <v/>
          </cell>
          <cell r="T129">
            <v>3.406457849150446E-2</v>
          </cell>
          <cell r="U129">
            <v>5.9558796559453508E-2</v>
          </cell>
          <cell r="V129">
            <v>0.10546871267091851</v>
          </cell>
          <cell r="W129" t="str">
            <v/>
          </cell>
          <cell r="X129">
            <v>9.4100424795140469E-4</v>
          </cell>
          <cell r="Y129">
            <v>2.2282848186230275E-3</v>
          </cell>
          <cell r="Z129">
            <v>6.7252406506083107E-3</v>
          </cell>
          <cell r="AA129">
            <v>1.3766994293333279E-2</v>
          </cell>
          <cell r="AB129" t="str">
            <v/>
          </cell>
          <cell r="AC129">
            <v>3.5739324453170296E-2</v>
          </cell>
          <cell r="AD129">
            <v>6.2461122885851039E-2</v>
          </cell>
          <cell r="AE129">
            <v>0.11055008279062928</v>
          </cell>
        </row>
        <row r="130">
          <cell r="D130" t="str">
            <v>EUR</v>
          </cell>
          <cell r="N130" t="str">
            <v/>
          </cell>
          <cell r="O130">
            <v>1.2936564344949719E-3</v>
          </cell>
          <cell r="P130">
            <v>3.0371385243767035E-3</v>
          </cell>
          <cell r="Q130">
            <v>7.0523081357990458E-3</v>
          </cell>
          <cell r="R130">
            <v>1.4152379480836363E-2</v>
          </cell>
          <cell r="S130" t="str">
            <v/>
          </cell>
          <cell r="T130">
            <v>3.3836434234451929E-2</v>
          </cell>
          <cell r="U130">
            <v>5.8057670574571452E-2</v>
          </cell>
          <cell r="V130">
            <v>9.953756197822039E-2</v>
          </cell>
          <cell r="W130" t="str">
            <v/>
          </cell>
          <cell r="X130">
            <v>1.4111739830211523E-3</v>
          </cell>
          <cell r="Y130">
            <v>3.2383529486319507E-3</v>
          </cell>
          <cell r="Z130">
            <v>7.4194568097494251E-3</v>
          </cell>
          <cell r="AA130">
            <v>1.4851488418520242E-2</v>
          </cell>
          <cell r="AB130" t="str">
            <v/>
          </cell>
          <cell r="AC130">
            <v>3.5502549369802572E-2</v>
          </cell>
          <cell r="AD130">
            <v>6.0891743334757109E-2</v>
          </cell>
          <cell r="AE130">
            <v>0.10431506579013672</v>
          </cell>
        </row>
        <row r="131">
          <cell r="D131" t="str">
            <v>EUR</v>
          </cell>
          <cell r="N131" t="str">
            <v/>
          </cell>
          <cell r="O131">
            <v>9.4100633706173387E-4</v>
          </cell>
          <cell r="P131">
            <v>2.0232612561962293E-3</v>
          </cell>
          <cell r="Q131">
            <v>7.1159203209344435E-3</v>
          </cell>
          <cell r="R131">
            <v>1.3070807781553895E-2</v>
          </cell>
          <cell r="S131" t="str">
            <v/>
          </cell>
          <cell r="T131">
            <v>3.4079363455269962E-2</v>
          </cell>
          <cell r="U131">
            <v>5.5502030521142998E-2</v>
          </cell>
          <cell r="V131">
            <v>9.4553893679440892E-2</v>
          </cell>
          <cell r="W131" t="str">
            <v/>
          </cell>
          <cell r="X131">
            <v>1.0585674487949559E-3</v>
          </cell>
          <cell r="Y131">
            <v>2.2246532190236534E-3</v>
          </cell>
          <cell r="Z131">
            <v>7.483271245583456E-3</v>
          </cell>
          <cell r="AA131">
            <v>1.3715095125287124E-2</v>
          </cell>
          <cell r="AB131" t="str">
            <v/>
          </cell>
          <cell r="AC131">
            <v>3.5754115520358454E-2</v>
          </cell>
          <cell r="AD131">
            <v>5.8209914058552803E-2</v>
          </cell>
          <cell r="AE131">
            <v>9.909506455409367E-2</v>
          </cell>
        </row>
        <row r="132">
          <cell r="D132" t="str">
            <v>EUR</v>
          </cell>
          <cell r="N132" t="str">
            <v/>
          </cell>
          <cell r="O132">
            <v>8.2342876691621214E-4</v>
          </cell>
          <cell r="P132">
            <v>1.6167208634250141E-3</v>
          </cell>
          <cell r="Q132">
            <v>4.8575337401989271E-3</v>
          </cell>
          <cell r="R132">
            <v>9.273777812558559E-3</v>
          </cell>
          <cell r="S132" t="str">
            <v/>
          </cell>
          <cell r="T132">
            <v>2.4265834130403174E-2</v>
          </cell>
          <cell r="U132">
            <v>3.8352434172192806E-2</v>
          </cell>
          <cell r="V132">
            <v>6.9400357679895275E-2</v>
          </cell>
          <cell r="W132" t="str">
            <v/>
          </cell>
          <cell r="X132">
            <v>9.4100424795140469E-4</v>
          </cell>
          <cell r="Y132">
            <v>1.8181813004158887E-3</v>
          </cell>
          <cell r="Z132">
            <v>5.2255253273290059E-3</v>
          </cell>
          <cell r="AA132">
            <v>9.8067826997725316E-3</v>
          </cell>
          <cell r="AB132" t="str">
            <v/>
          </cell>
          <cell r="AC132">
            <v>2.5448407006464779E-2</v>
          </cell>
          <cell r="AD132">
            <v>4.0222457671734158E-2</v>
          </cell>
          <cell r="AE132">
            <v>7.2759135688670762E-2</v>
          </cell>
        </row>
        <row r="133">
          <cell r="D133" t="str">
            <v>EUR</v>
          </cell>
          <cell r="N133" t="str">
            <v/>
          </cell>
          <cell r="O133">
            <v>3.5298073341860636E-4</v>
          </cell>
          <cell r="P133">
            <v>1.2208539223919068E-3</v>
          </cell>
          <cell r="Q133">
            <v>4.886167594088775E-3</v>
          </cell>
          <cell r="R133">
            <v>9.8648452119589614E-3</v>
          </cell>
          <cell r="S133" t="str">
            <v/>
          </cell>
          <cell r="T133">
            <v>2.6108792573296902E-2</v>
          </cell>
          <cell r="U133">
            <v>4.3514280364233993E-2</v>
          </cell>
          <cell r="V133">
            <v>8.0203730790926686E-2</v>
          </cell>
          <cell r="W133" t="str">
            <v/>
          </cell>
          <cell r="X133">
            <v>4.7061295331773945E-4</v>
          </cell>
          <cell r="Y133">
            <v>1.4224213278153375E-3</v>
          </cell>
          <cell r="Z133">
            <v>5.2542545514108197E-3</v>
          </cell>
          <cell r="AA133">
            <v>1.0397747849486771E-2</v>
          </cell>
          <cell r="AB133" t="str">
            <v/>
          </cell>
          <cell r="AC133">
            <v>2.7383553898836954E-2</v>
          </cell>
          <cell r="AD133">
            <v>4.5636104376191033E-2</v>
          </cell>
          <cell r="AE133">
            <v>8.407879708433974E-2</v>
          </cell>
        </row>
        <row r="134">
          <cell r="D134" t="str">
            <v>EUR</v>
          </cell>
          <cell r="N134" t="str">
            <v/>
          </cell>
          <cell r="O134">
            <v>7.0583742388907744E-4</v>
          </cell>
          <cell r="P134">
            <v>1.8254343260272199E-3</v>
          </cell>
          <cell r="Q134">
            <v>6.750916565127496E-3</v>
          </cell>
          <cell r="R134">
            <v>1.3673906778123412E-2</v>
          </cell>
          <cell r="S134" t="str">
            <v/>
          </cell>
          <cell r="T134">
            <v>3.4940642929513155E-2</v>
          </cell>
          <cell r="U134">
            <v>5.9402592939701626E-2</v>
          </cell>
          <cell r="V134">
            <v>0.11136303056779184</v>
          </cell>
          <cell r="W134" t="str">
            <v/>
          </cell>
          <cell r="X134">
            <v>8.2342719960870614E-4</v>
          </cell>
          <cell r="Y134">
            <v>2.0268798220722806E-3</v>
          </cell>
          <cell r="Z134">
            <v>7.1184082708035668E-3</v>
          </cell>
          <cell r="AA134">
            <v>1.434614498467135E-2</v>
          </cell>
          <cell r="AB134" t="str">
            <v/>
          </cell>
          <cell r="AC134">
            <v>3.6658208823718508E-2</v>
          </cell>
          <cell r="AD134">
            <v>6.2297330489652802E-2</v>
          </cell>
          <cell r="AE134">
            <v>0.11669553352754247</v>
          </cell>
        </row>
        <row r="135">
          <cell r="D135" t="str">
            <v>EUR</v>
          </cell>
          <cell r="N135" t="str">
            <v/>
          </cell>
          <cell r="O135">
            <v>1.3876755377493222E-3</v>
          </cell>
          <cell r="P135">
            <v>3.0956898864663573E-3</v>
          </cell>
          <cell r="Q135">
            <v>7.6959023535093651E-3</v>
          </cell>
          <cell r="R135">
            <v>1.349573977561902E-2</v>
          </cell>
          <cell r="S135" t="str">
            <v/>
          </cell>
          <cell r="T135">
            <v>2.8311378813561827E-2</v>
          </cell>
          <cell r="U135">
            <v>4.4272216177437818E-2</v>
          </cell>
          <cell r="V135">
            <v>6.9045019391116735E-2</v>
          </cell>
          <cell r="W135" t="str">
            <v/>
          </cell>
          <cell r="X135">
            <v>1.5051813521484991E-3</v>
          </cell>
          <cell r="Y135">
            <v>3.2968857258888207E-3</v>
          </cell>
          <cell r="Z135">
            <v>8.0761933437346611E-3</v>
          </cell>
          <cell r="AA135">
            <v>1.4163694764106283E-2</v>
          </cell>
          <cell r="AB135" t="str">
            <v/>
          </cell>
          <cell r="AC135">
            <v>2.9706065265419856E-2</v>
          </cell>
          <cell r="AD135">
            <v>4.6440997125220762E-2</v>
          </cell>
          <cell r="AE135">
            <v>7.2387312861410313E-2</v>
          </cell>
        </row>
        <row r="136">
          <cell r="D136" t="str">
            <v>USD</v>
          </cell>
          <cell r="N136" t="str">
            <v/>
          </cell>
          <cell r="O136" t="str">
            <v/>
          </cell>
          <cell r="P136">
            <v>1.4417852808435994E-3</v>
          </cell>
          <cell r="Q136" t="str">
            <v/>
          </cell>
          <cell r="R136">
            <v>9.9443383060753288E-3</v>
          </cell>
          <cell r="S136" t="str">
            <v/>
          </cell>
          <cell r="T136">
            <v>2.4715784739627544E-2</v>
          </cell>
          <cell r="U136">
            <v>3.8105676173523895E-2</v>
          </cell>
          <cell r="V136">
            <v>6.4269597008724588E-2</v>
          </cell>
          <cell r="W136" t="str">
            <v/>
          </cell>
          <cell r="X136" t="str">
            <v/>
          </cell>
          <cell r="Y136">
            <v>1.6432576046871983E-3</v>
          </cell>
          <cell r="Z136" t="str">
            <v/>
          </cell>
          <cell r="AA136">
            <v>1.0477141156735481E-2</v>
          </cell>
          <cell r="AB136" t="str">
            <v/>
          </cell>
          <cell r="AC136">
            <v>2.592661557973075E-2</v>
          </cell>
          <cell r="AD136">
            <v>3.9960162254173537E-2</v>
          </cell>
          <cell r="AE136">
            <v>6.7387286779377775E-2</v>
          </cell>
        </row>
        <row r="137">
          <cell r="D137" t="str">
            <v>USD</v>
          </cell>
          <cell r="N137" t="str">
            <v/>
          </cell>
          <cell r="O137" t="str">
            <v/>
          </cell>
          <cell r="P137">
            <v>2.8654126701049831E-3</v>
          </cell>
          <cell r="Q137" t="str">
            <v/>
          </cell>
          <cell r="R137">
            <v>1.438374924461483E-2</v>
          </cell>
          <cell r="S137" t="str">
            <v/>
          </cell>
          <cell r="T137">
            <v>3.4446281882520746E-2</v>
          </cell>
          <cell r="U137">
            <v>5.9194485720789114E-2</v>
          </cell>
          <cell r="V137">
            <v>9.973004380247974E-2</v>
          </cell>
          <cell r="W137" t="str">
            <v/>
          </cell>
          <cell r="X137" t="str">
            <v/>
          </cell>
          <cell r="Y137">
            <v>3.0665691911095916E-3</v>
          </cell>
          <cell r="Z137" t="str">
            <v/>
          </cell>
          <cell r="AA137">
            <v>1.5091980139947614E-2</v>
          </cell>
          <cell r="AB137" t="str">
            <v/>
          </cell>
          <cell r="AC137">
            <v>3.6143197232566204E-2</v>
          </cell>
          <cell r="AD137">
            <v>6.2080374660919646E-2</v>
          </cell>
          <cell r="AE137">
            <v>0.10451907605604105</v>
          </cell>
        </row>
        <row r="138">
          <cell r="D138" t="str">
            <v>USD</v>
          </cell>
          <cell r="N138" t="str">
            <v>IRS Curve missing</v>
          </cell>
          <cell r="O138" t="str">
            <v>IRS Curve missing</v>
          </cell>
          <cell r="P138" t="str">
            <v>IRS Curve missing</v>
          </cell>
          <cell r="Q138" t="str">
            <v>IRS Curve missing</v>
          </cell>
          <cell r="R138" t="str">
            <v>IRS Curve missing</v>
          </cell>
          <cell r="S138" t="str">
            <v>IRS Curve missing</v>
          </cell>
          <cell r="T138" t="str">
            <v>IRS Curve missing</v>
          </cell>
          <cell r="U138" t="str">
            <v>IRS Curve missing</v>
          </cell>
          <cell r="V138" t="str">
            <v>IRS Curve missing</v>
          </cell>
          <cell r="W138" t="str">
            <v>IRS Curve missing</v>
          </cell>
          <cell r="X138" t="str">
            <v>IRS Curve missing</v>
          </cell>
          <cell r="Y138" t="str">
            <v>IRS Curve missing</v>
          </cell>
          <cell r="Z138" t="str">
            <v>IRS Curve missing</v>
          </cell>
          <cell r="AA138" t="str">
            <v>IRS Curve missing</v>
          </cell>
          <cell r="AB138" t="str">
            <v>IRS Curve missing</v>
          </cell>
          <cell r="AC138" t="str">
            <v>IRS Curve missing</v>
          </cell>
          <cell r="AD138" t="str">
            <v>IRS Curve missing</v>
          </cell>
          <cell r="AE138" t="str">
            <v>IRS Curve missing</v>
          </cell>
        </row>
        <row r="139">
          <cell r="D139" t="str">
            <v>USD</v>
          </cell>
          <cell r="N139" t="str">
            <v>IRS Curve missing</v>
          </cell>
          <cell r="O139" t="str">
            <v>IRS Curve missing</v>
          </cell>
          <cell r="P139" t="str">
            <v>IRS Curve missing</v>
          </cell>
          <cell r="Q139" t="str">
            <v>IRS Curve missing</v>
          </cell>
          <cell r="R139" t="str">
            <v>IRS Curve missing</v>
          </cell>
          <cell r="S139" t="str">
            <v>IRS Curve missing</v>
          </cell>
          <cell r="T139" t="str">
            <v>IRS Curve missing</v>
          </cell>
          <cell r="U139" t="str">
            <v>IRS Curve missing</v>
          </cell>
          <cell r="V139" t="str">
            <v>IRS Curve missing</v>
          </cell>
          <cell r="W139" t="str">
            <v>IRS Curve missing</v>
          </cell>
          <cell r="X139" t="str">
            <v>IRS Curve missing</v>
          </cell>
          <cell r="Y139" t="str">
            <v>IRS Curve missing</v>
          </cell>
          <cell r="Z139" t="str">
            <v>IRS Curve missing</v>
          </cell>
          <cell r="AA139" t="str">
            <v>IRS Curve missing</v>
          </cell>
          <cell r="AB139" t="str">
            <v>IRS Curve missing</v>
          </cell>
          <cell r="AC139" t="str">
            <v>IRS Curve missing</v>
          </cell>
          <cell r="AD139" t="str">
            <v>IRS Curve missing</v>
          </cell>
          <cell r="AE139" t="str">
            <v>IRS Curve missing</v>
          </cell>
        </row>
        <row r="140">
          <cell r="D140" t="str">
            <v>USD</v>
          </cell>
          <cell r="N140" t="str">
            <v/>
          </cell>
          <cell r="O140" t="str">
            <v/>
          </cell>
          <cell r="P140">
            <v>1.9011098925197922E-3</v>
          </cell>
          <cell r="Q140" t="str">
            <v/>
          </cell>
          <cell r="R140">
            <v>1.4837469975772732E-2</v>
          </cell>
          <cell r="S140" t="str">
            <v/>
          </cell>
          <cell r="T140">
            <v>3.4922048968180075E-2</v>
          </cell>
          <cell r="U140">
            <v>5.7263319262240264E-2</v>
          </cell>
          <cell r="V140">
            <v>0.10030600428353376</v>
          </cell>
          <cell r="W140" t="str">
            <v/>
          </cell>
          <cell r="X140" t="str">
            <v/>
          </cell>
          <cell r="Y140">
            <v>2.1024825237333511E-3</v>
          </cell>
          <cell r="Z140" t="str">
            <v/>
          </cell>
          <cell r="AA140">
            <v>1.5562929231549338E-2</v>
          </cell>
          <cell r="AB140" t="str">
            <v/>
          </cell>
          <cell r="AC140">
            <v>3.6638264389218134E-2</v>
          </cell>
          <cell r="AD140">
            <v>6.0051897279190802E-2</v>
          </cell>
          <cell r="AE140">
            <v>0.10512080458311834</v>
          </cell>
        </row>
        <row r="141">
          <cell r="D141" t="str">
            <v>USD</v>
          </cell>
          <cell r="N141" t="str">
            <v/>
          </cell>
          <cell r="O141" t="str">
            <v/>
          </cell>
          <cell r="P141">
            <v>2.430684816614237E-3</v>
          </cell>
          <cell r="Q141" t="str">
            <v/>
          </cell>
          <cell r="R141">
            <v>1.041827335199097E-2</v>
          </cell>
          <cell r="S141" t="str">
            <v/>
          </cell>
          <cell r="T141">
            <v>2.1381977196019197E-2</v>
          </cell>
          <cell r="U141">
            <v>3.2929078008642088E-2</v>
          </cell>
          <cell r="V141">
            <v>5.6904200036376751E-2</v>
          </cell>
          <cell r="W141" t="str">
            <v/>
          </cell>
          <cell r="X141" t="str">
            <v/>
          </cell>
          <cell r="Y141">
            <v>2.6319399267051846E-3</v>
          </cell>
          <cell r="Z141" t="str">
            <v/>
          </cell>
          <cell r="AA141">
            <v>1.0950493464163991E-2</v>
          </cell>
          <cell r="AB141" t="str">
            <v/>
          </cell>
          <cell r="AC141">
            <v>2.2434150185474899E-2</v>
          </cell>
          <cell r="AD141">
            <v>3.4541458411541326E-2</v>
          </cell>
          <cell r="AE141">
            <v>5.9674098220997562E-2</v>
          </cell>
        </row>
        <row r="142">
          <cell r="D142" t="str">
            <v>USD</v>
          </cell>
          <cell r="N142" t="str">
            <v/>
          </cell>
          <cell r="O142" t="str">
            <v/>
          </cell>
          <cell r="P142">
            <v>2.374317460802633E-3</v>
          </cell>
          <cell r="Q142" t="str">
            <v/>
          </cell>
          <cell r="R142">
            <v>1.2555011758394463E-2</v>
          </cell>
          <cell r="S142" t="str">
            <v/>
          </cell>
          <cell r="T142">
            <v>3.0207092995187423E-2</v>
          </cell>
          <cell r="U142">
            <v>5.4399078685967384E-2</v>
          </cell>
          <cell r="V142">
            <v>9.4412042189432333E-2</v>
          </cell>
          <cell r="W142" t="str">
            <v/>
          </cell>
          <cell r="X142" t="str">
            <v/>
          </cell>
          <cell r="Y142">
            <v>2.5755852132772761E-3</v>
          </cell>
          <cell r="Z142" t="str">
            <v/>
          </cell>
          <cell r="AA142">
            <v>1.3169983167942378E-2</v>
          </cell>
          <cell r="AB142" t="str">
            <v/>
          </cell>
          <cell r="AC142">
            <v>3.1696159998372941E-2</v>
          </cell>
          <cell r="AD142">
            <v>5.7056137250050543E-2</v>
          </cell>
          <cell r="AE142">
            <v>9.8959467263074918E-2</v>
          </cell>
        </row>
        <row r="143">
          <cell r="D143" t="str">
            <v>USD</v>
          </cell>
          <cell r="N143" t="str">
            <v/>
          </cell>
          <cell r="O143" t="str">
            <v/>
          </cell>
          <cell r="P143">
            <v>2.3984752853675184E-3</v>
          </cell>
          <cell r="Q143" t="str">
            <v/>
          </cell>
          <cell r="R143">
            <v>1.3251772070081991E-2</v>
          </cell>
          <cell r="S143" t="str">
            <v/>
          </cell>
          <cell r="T143">
            <v>3.1459253800616982E-2</v>
          </cell>
          <cell r="U143">
            <v>4.4668331614529766E-2</v>
          </cell>
          <cell r="V143">
            <v>6.621900576173545E-2</v>
          </cell>
          <cell r="W143" t="str">
            <v/>
          </cell>
          <cell r="X143" t="str">
            <v/>
          </cell>
          <cell r="Y143">
            <v>2.5997376235268321E-3</v>
          </cell>
          <cell r="Z143" t="str">
            <v/>
          </cell>
          <cell r="AA143">
            <v>1.3901400113600526E-2</v>
          </cell>
          <cell r="AB143" t="str">
            <v/>
          </cell>
          <cell r="AC143">
            <v>3.3009802689089929E-2</v>
          </cell>
          <cell r="AD143">
            <v>4.6848296501434183E-2</v>
          </cell>
          <cell r="AE143">
            <v>6.942711697105286E-2</v>
          </cell>
        </row>
        <row r="144">
          <cell r="D144" t="str">
            <v>USD</v>
          </cell>
          <cell r="N144" t="str">
            <v>IRS Curve missing</v>
          </cell>
          <cell r="O144" t="str">
            <v>IRS Curve missing</v>
          </cell>
          <cell r="P144" t="str">
            <v>IRS Curve missing</v>
          </cell>
          <cell r="Q144" t="str">
            <v>IRS Curve missing</v>
          </cell>
          <cell r="R144" t="str">
            <v>IRS Curve missing</v>
          </cell>
          <cell r="S144" t="str">
            <v>IRS Curve missing</v>
          </cell>
          <cell r="T144" t="str">
            <v>IRS Curve missing</v>
          </cell>
          <cell r="U144" t="str">
            <v>IRS Curve missing</v>
          </cell>
          <cell r="V144" t="str">
            <v>IRS Curve missing</v>
          </cell>
          <cell r="W144" t="str">
            <v>IRS Curve missing</v>
          </cell>
          <cell r="X144" t="str">
            <v>IRS Curve missing</v>
          </cell>
          <cell r="Y144" t="str">
            <v>IRS Curve missing</v>
          </cell>
          <cell r="Z144" t="str">
            <v>IRS Curve missing</v>
          </cell>
          <cell r="AA144" t="str">
            <v>IRS Curve missing</v>
          </cell>
          <cell r="AB144" t="str">
            <v>IRS Curve missing</v>
          </cell>
          <cell r="AC144" t="str">
            <v>IRS Curve missing</v>
          </cell>
          <cell r="AD144" t="str">
            <v>IRS Curve missing</v>
          </cell>
          <cell r="AE144" t="str">
            <v>IRS Curve missing</v>
          </cell>
        </row>
        <row r="145">
          <cell r="D145" t="str">
            <v>USD</v>
          </cell>
          <cell r="N145" t="str">
            <v>IRS Curve missing</v>
          </cell>
          <cell r="O145" t="str">
            <v>IRS Curve missing</v>
          </cell>
          <cell r="P145" t="str">
            <v>IRS Curve missing</v>
          </cell>
          <cell r="Q145" t="str">
            <v>IRS Curve missing</v>
          </cell>
          <cell r="R145" t="str">
            <v>IRS Curve missing</v>
          </cell>
          <cell r="S145" t="str">
            <v>IRS Curve missing</v>
          </cell>
          <cell r="T145" t="str">
            <v>IRS Curve missing</v>
          </cell>
          <cell r="U145" t="str">
            <v>IRS Curve missing</v>
          </cell>
          <cell r="V145" t="str">
            <v>IRS Curve missing</v>
          </cell>
          <cell r="W145" t="str">
            <v>IRS Curve missing</v>
          </cell>
          <cell r="X145" t="str">
            <v>IRS Curve missing</v>
          </cell>
          <cell r="Y145" t="str">
            <v>IRS Curve missing</v>
          </cell>
          <cell r="Z145" t="str">
            <v>IRS Curve missing</v>
          </cell>
          <cell r="AA145" t="str">
            <v>IRS Curve missing</v>
          </cell>
          <cell r="AB145" t="str">
            <v>IRS Curve missing</v>
          </cell>
          <cell r="AC145" t="str">
            <v>IRS Curve missing</v>
          </cell>
          <cell r="AD145" t="str">
            <v>IRS Curve missing</v>
          </cell>
          <cell r="AE145" t="str">
            <v>IRS Curve missing</v>
          </cell>
        </row>
        <row r="146">
          <cell r="D146" t="str">
            <v>USD</v>
          </cell>
          <cell r="N146" t="str">
            <v/>
          </cell>
          <cell r="O146" t="str">
            <v/>
          </cell>
          <cell r="P146">
            <v>2.0924333443231857E-3</v>
          </cell>
          <cell r="Q146" t="str">
            <v/>
          </cell>
          <cell r="R146">
            <v>1.5619054007528055E-2</v>
          </cell>
          <cell r="S146" t="str">
            <v/>
          </cell>
          <cell r="T146">
            <v>3.8883234490645124E-2</v>
          </cell>
          <cell r="U146">
            <v>6.7711426327713653E-2</v>
          </cell>
          <cell r="V146">
            <v>0.12753596709427517</v>
          </cell>
          <cell r="W146" t="str">
            <v/>
          </cell>
          <cell r="X146" t="str">
            <v/>
          </cell>
          <cell r="Y146">
            <v>2.2937638403187632E-3</v>
          </cell>
          <cell r="Z146" t="str">
            <v/>
          </cell>
          <cell r="AA146">
            <v>1.638423892606955E-2</v>
          </cell>
          <cell r="AB146" t="str">
            <v/>
          </cell>
          <cell r="AC146">
            <v>4.0793606575475372E-2</v>
          </cell>
          <cell r="AD146">
            <v>7.1002270298137549E-2</v>
          </cell>
          <cell r="AE146">
            <v>0.13361184567159745</v>
          </cell>
        </row>
        <row r="147">
          <cell r="D147" t="str">
            <v>USD</v>
          </cell>
          <cell r="N147" t="str">
            <v>IRS Curve missing</v>
          </cell>
          <cell r="O147" t="str">
            <v>IRS Curve missing</v>
          </cell>
          <cell r="P147" t="str">
            <v>IRS Curve missing</v>
          </cell>
          <cell r="Q147" t="str">
            <v>IRS Curve missing</v>
          </cell>
          <cell r="R147" t="str">
            <v>IRS Curve missing</v>
          </cell>
          <cell r="S147" t="str">
            <v>IRS Curve missing</v>
          </cell>
          <cell r="T147" t="str">
            <v>IRS Curve missing</v>
          </cell>
          <cell r="U147" t="str">
            <v>IRS Curve missing</v>
          </cell>
          <cell r="V147" t="str">
            <v>IRS Curve missing</v>
          </cell>
          <cell r="W147" t="str">
            <v>IRS Curve missing</v>
          </cell>
          <cell r="X147" t="str">
            <v>IRS Curve missing</v>
          </cell>
          <cell r="Y147" t="str">
            <v>IRS Curve missing</v>
          </cell>
          <cell r="Z147" t="str">
            <v>IRS Curve missing</v>
          </cell>
          <cell r="AA147" t="str">
            <v>IRS Curve missing</v>
          </cell>
          <cell r="AB147" t="str">
            <v>IRS Curve missing</v>
          </cell>
          <cell r="AC147" t="str">
            <v>IRS Curve missing</v>
          </cell>
          <cell r="AD147" t="str">
            <v>IRS Curve missing</v>
          </cell>
          <cell r="AE147" t="str">
            <v>IRS Curve missing</v>
          </cell>
        </row>
        <row r="148">
          <cell r="D148" t="str">
            <v>USD</v>
          </cell>
          <cell r="N148" t="str">
            <v>IRS Curve missing</v>
          </cell>
          <cell r="O148" t="str">
            <v>IRS Curve missing</v>
          </cell>
          <cell r="P148" t="str">
            <v>IRS Curve missing</v>
          </cell>
          <cell r="Q148" t="str">
            <v>IRS Curve missing</v>
          </cell>
          <cell r="R148" t="str">
            <v>IRS Curve missing</v>
          </cell>
          <cell r="S148" t="str">
            <v>IRS Curve missing</v>
          </cell>
          <cell r="T148" t="str">
            <v>IRS Curve missing</v>
          </cell>
          <cell r="U148" t="str">
            <v>IRS Curve missing</v>
          </cell>
          <cell r="V148" t="str">
            <v>IRS Curve missing</v>
          </cell>
          <cell r="W148" t="str">
            <v>IRS Curve missing</v>
          </cell>
          <cell r="X148" t="str">
            <v>IRS Curve missing</v>
          </cell>
          <cell r="Y148" t="str">
            <v>IRS Curve missing</v>
          </cell>
          <cell r="Z148" t="str">
            <v>IRS Curve missing</v>
          </cell>
          <cell r="AA148" t="str">
            <v>IRS Curve missing</v>
          </cell>
          <cell r="AB148" t="str">
            <v>IRS Curve missing</v>
          </cell>
          <cell r="AC148" t="str">
            <v>IRS Curve missing</v>
          </cell>
          <cell r="AD148" t="str">
            <v>IRS Curve missing</v>
          </cell>
          <cell r="AE148" t="str">
            <v>IRS Curve missing</v>
          </cell>
        </row>
        <row r="149">
          <cell r="D149" t="str">
            <v>USD</v>
          </cell>
          <cell r="N149" t="str">
            <v>IRS Curve missing</v>
          </cell>
          <cell r="O149" t="str">
            <v>IRS Curve missing</v>
          </cell>
          <cell r="P149" t="str">
            <v>IRS Curve missing</v>
          </cell>
          <cell r="Q149" t="str">
            <v>IRS Curve missing</v>
          </cell>
          <cell r="R149" t="str">
            <v>IRS Curve missing</v>
          </cell>
          <cell r="S149" t="str">
            <v>IRS Curve missing</v>
          </cell>
          <cell r="T149" t="str">
            <v>IRS Curve missing</v>
          </cell>
          <cell r="U149" t="str">
            <v>IRS Curve missing</v>
          </cell>
          <cell r="V149" t="str">
            <v>IRS Curve missing</v>
          </cell>
          <cell r="W149" t="str">
            <v>IRS Curve missing</v>
          </cell>
          <cell r="X149" t="str">
            <v>IRS Curve missing</v>
          </cell>
          <cell r="Y149" t="str">
            <v>IRS Curve missing</v>
          </cell>
          <cell r="Z149" t="str">
            <v>IRS Curve missing</v>
          </cell>
          <cell r="AA149" t="str">
            <v>IRS Curve missing</v>
          </cell>
          <cell r="AB149" t="str">
            <v>IRS Curve missing</v>
          </cell>
          <cell r="AC149" t="str">
            <v>IRS Curve missing</v>
          </cell>
          <cell r="AD149" t="str">
            <v>IRS Curve missing</v>
          </cell>
          <cell r="AE149" t="str">
            <v>IRS Curve missing</v>
          </cell>
        </row>
        <row r="150">
          <cell r="D150" t="str">
            <v>USD</v>
          </cell>
          <cell r="N150" t="str">
            <v>IRS Curve missing</v>
          </cell>
          <cell r="O150" t="str">
            <v>IRS Curve missing</v>
          </cell>
          <cell r="P150" t="str">
            <v>IRS Curve missing</v>
          </cell>
          <cell r="Q150" t="str">
            <v>IRS Curve missing</v>
          </cell>
          <cell r="R150" t="str">
            <v>IRS Curve missing</v>
          </cell>
          <cell r="S150" t="str">
            <v>IRS Curve missing</v>
          </cell>
          <cell r="T150" t="str">
            <v>IRS Curve missing</v>
          </cell>
          <cell r="U150" t="str">
            <v>IRS Curve missing</v>
          </cell>
          <cell r="V150" t="str">
            <v>IRS Curve missing</v>
          </cell>
          <cell r="W150" t="str">
            <v>IRS Curve missing</v>
          </cell>
          <cell r="X150" t="str">
            <v>IRS Curve missing</v>
          </cell>
          <cell r="Y150" t="str">
            <v>IRS Curve missing</v>
          </cell>
          <cell r="Z150" t="str">
            <v>IRS Curve missing</v>
          </cell>
          <cell r="AA150" t="str">
            <v>IRS Curve missing</v>
          </cell>
          <cell r="AB150" t="str">
            <v>IRS Curve missing</v>
          </cell>
          <cell r="AC150" t="str">
            <v>IRS Curve missing</v>
          </cell>
          <cell r="AD150" t="str">
            <v>IRS Curve missing</v>
          </cell>
          <cell r="AE150" t="str">
            <v>IRS Curve missing</v>
          </cell>
        </row>
        <row r="151">
          <cell r="D151" t="str">
            <v>USD</v>
          </cell>
          <cell r="N151" t="str">
            <v/>
          </cell>
          <cell r="O151" t="str">
            <v/>
          </cell>
          <cell r="P151">
            <v>1.0709494977400036E-3</v>
          </cell>
          <cell r="Q151" t="str">
            <v/>
          </cell>
          <cell r="R151">
            <v>3.6582486596276054E-3</v>
          </cell>
          <cell r="S151" t="str">
            <v/>
          </cell>
          <cell r="T151">
            <v>1.0493052839478323E-2</v>
          </cell>
          <cell r="U151">
            <v>1.8932211628110096E-2</v>
          </cell>
          <cell r="V151">
            <v>3.6347374118500531E-2</v>
          </cell>
          <cell r="W151" t="str">
            <v/>
          </cell>
          <cell r="X151" t="str">
            <v/>
          </cell>
          <cell r="Y151">
            <v>1.2725008256738723E-3</v>
          </cell>
          <cell r="Z151" t="str">
            <v/>
          </cell>
          <cell r="AA151">
            <v>4.1936126670124585E-3</v>
          </cell>
          <cell r="AB151" t="str">
            <v/>
          </cell>
          <cell r="AC151">
            <v>1.1358370444644383E-2</v>
          </cell>
          <cell r="AD151">
            <v>2.0121076273872163E-2</v>
          </cell>
          <cell r="AE151">
            <v>3.800731368296395E-2</v>
          </cell>
        </row>
        <row r="152">
          <cell r="D152" t="str">
            <v>USD</v>
          </cell>
          <cell r="N152" t="str">
            <v/>
          </cell>
          <cell r="O152" t="str">
            <v/>
          </cell>
          <cell r="P152">
            <v>9.6612333957823981E-4</v>
          </cell>
          <cell r="Q152" t="str">
            <v/>
          </cell>
          <cell r="R152">
            <v>6.8346387205835413E-3</v>
          </cell>
          <cell r="S152" t="str">
            <v/>
          </cell>
          <cell r="T152">
            <v>1.8795633157873026E-2</v>
          </cell>
          <cell r="U152">
            <v>3.2478808737708365E-2</v>
          </cell>
          <cell r="V152">
            <v>5.5319510681466344E-2</v>
          </cell>
          <cell r="W152" t="str">
            <v/>
          </cell>
          <cell r="X152" t="str">
            <v/>
          </cell>
          <cell r="Y152">
            <v>1.1676967638273306E-3</v>
          </cell>
          <cell r="Z152" t="str">
            <v/>
          </cell>
          <cell r="AA152">
            <v>7.3688282379235082E-3</v>
          </cell>
          <cell r="AB152" t="str">
            <v/>
          </cell>
          <cell r="AC152">
            <v>1.9690735172208651E-2</v>
          </cell>
          <cell r="AD152">
            <v>3.4050588472420928E-2</v>
          </cell>
          <cell r="AE152">
            <v>5.7985375154159358E-2</v>
          </cell>
        </row>
        <row r="153">
          <cell r="D153" t="str">
            <v>USD</v>
          </cell>
          <cell r="N153" t="str">
            <v>IRS Curve missing</v>
          </cell>
          <cell r="O153" t="str">
            <v>IRS Curve missing</v>
          </cell>
          <cell r="P153" t="str">
            <v>IRS Curve missing</v>
          </cell>
          <cell r="Q153" t="str">
            <v>IRS Curve missing</v>
          </cell>
          <cell r="R153" t="str">
            <v>IRS Curve missing</v>
          </cell>
          <cell r="S153" t="str">
            <v>IRS Curve missing</v>
          </cell>
          <cell r="T153" t="str">
            <v>IRS Curve missing</v>
          </cell>
          <cell r="U153" t="str">
            <v>IRS Curve missing</v>
          </cell>
          <cell r="V153" t="str">
            <v>IRS Curve missing</v>
          </cell>
          <cell r="W153" t="str">
            <v>IRS Curve missing</v>
          </cell>
          <cell r="X153" t="str">
            <v>IRS Curve missing</v>
          </cell>
          <cell r="Y153" t="str">
            <v>IRS Curve missing</v>
          </cell>
          <cell r="Z153" t="str">
            <v>IRS Curve missing</v>
          </cell>
          <cell r="AA153" t="str">
            <v>IRS Curve missing</v>
          </cell>
          <cell r="AB153" t="str">
            <v>IRS Curve missing</v>
          </cell>
          <cell r="AC153" t="str">
            <v>IRS Curve missing</v>
          </cell>
          <cell r="AD153" t="str">
            <v>IRS Curve missing</v>
          </cell>
          <cell r="AE153" t="str">
            <v>IRS Curve missing</v>
          </cell>
        </row>
        <row r="154">
          <cell r="D154" t="str">
            <v>USD</v>
          </cell>
          <cell r="N154" t="str">
            <v/>
          </cell>
          <cell r="O154" t="str">
            <v/>
          </cell>
          <cell r="P154">
            <v>8.2499398109781019E-4</v>
          </cell>
          <cell r="Q154" t="str">
            <v/>
          </cell>
          <cell r="R154">
            <v>6.9932488214158317E-3</v>
          </cell>
          <cell r="S154" t="str">
            <v/>
          </cell>
          <cell r="T154">
            <v>1.6944047880950386E-2</v>
          </cell>
          <cell r="U154">
            <v>3.433313528067794E-2</v>
          </cell>
          <cell r="V154">
            <v>5.9494167035703316E-2</v>
          </cell>
          <cell r="W154" t="str">
            <v/>
          </cell>
          <cell r="X154" t="str">
            <v/>
          </cell>
          <cell r="Y154">
            <v>1.0265969912727213E-3</v>
          </cell>
          <cell r="Z154" t="str">
            <v/>
          </cell>
          <cell r="AA154">
            <v>7.5274346476272846E-3</v>
          </cell>
          <cell r="AB154" t="str">
            <v/>
          </cell>
          <cell r="AC154">
            <v>1.780450675401235E-2</v>
          </cell>
          <cell r="AD154">
            <v>3.5987715751378935E-2</v>
          </cell>
          <cell r="AE154">
            <v>6.2359287676621022E-2</v>
          </cell>
        </row>
        <row r="155">
          <cell r="D155" t="str">
            <v>USD</v>
          </cell>
          <cell r="N155" t="str">
            <v>IRS Curve missing</v>
          </cell>
          <cell r="O155" t="str">
            <v>IRS Curve missing</v>
          </cell>
          <cell r="P155" t="str">
            <v>IRS Curve missing</v>
          </cell>
          <cell r="Q155" t="str">
            <v>IRS Curve missing</v>
          </cell>
          <cell r="R155" t="str">
            <v>IRS Curve missing</v>
          </cell>
          <cell r="S155" t="str">
            <v>IRS Curve missing</v>
          </cell>
          <cell r="T155" t="str">
            <v>IRS Curve missing</v>
          </cell>
          <cell r="U155" t="str">
            <v>IRS Curve missing</v>
          </cell>
          <cell r="V155" t="str">
            <v>IRS Curve missing</v>
          </cell>
          <cell r="W155" t="str">
            <v>IRS Curve missing</v>
          </cell>
          <cell r="X155" t="str">
            <v>IRS Curve missing</v>
          </cell>
          <cell r="Y155" t="str">
            <v>IRS Curve missing</v>
          </cell>
          <cell r="Z155" t="str">
            <v>IRS Curve missing</v>
          </cell>
          <cell r="AA155" t="str">
            <v>IRS Curve missing</v>
          </cell>
          <cell r="AB155" t="str">
            <v>IRS Curve missing</v>
          </cell>
          <cell r="AC155" t="str">
            <v>IRS Curve missing</v>
          </cell>
          <cell r="AD155" t="str">
            <v>IRS Curve missing</v>
          </cell>
          <cell r="AE155" t="str">
            <v>IRS Curve missing</v>
          </cell>
        </row>
        <row r="156">
          <cell r="D156" t="str">
            <v>USD</v>
          </cell>
          <cell r="N156" t="str">
            <v>IRS Curve missing</v>
          </cell>
          <cell r="O156" t="str">
            <v>IRS Curve missing</v>
          </cell>
          <cell r="P156" t="str">
            <v>IRS Curve missing</v>
          </cell>
          <cell r="Q156" t="str">
            <v>IRS Curve missing</v>
          </cell>
          <cell r="R156" t="str">
            <v>IRS Curve missing</v>
          </cell>
          <cell r="S156" t="str">
            <v>IRS Curve missing</v>
          </cell>
          <cell r="T156" t="str">
            <v>IRS Curve missing</v>
          </cell>
          <cell r="U156" t="str">
            <v>IRS Curve missing</v>
          </cell>
          <cell r="V156" t="str">
            <v>IRS Curve missing</v>
          </cell>
          <cell r="W156" t="str">
            <v>IRS Curve missing</v>
          </cell>
          <cell r="X156" t="str">
            <v>IRS Curve missing</v>
          </cell>
          <cell r="Y156" t="str">
            <v>IRS Curve missing</v>
          </cell>
          <cell r="Z156" t="str">
            <v>IRS Curve missing</v>
          </cell>
          <cell r="AA156" t="str">
            <v>IRS Curve missing</v>
          </cell>
          <cell r="AB156" t="str">
            <v>IRS Curve missing</v>
          </cell>
          <cell r="AC156" t="str">
            <v>IRS Curve missing</v>
          </cell>
          <cell r="AD156" t="str">
            <v>IRS Curve missing</v>
          </cell>
          <cell r="AE156" t="str">
            <v>IRS Curve missing</v>
          </cell>
        </row>
        <row r="157">
          <cell r="D157" t="str">
            <v>USD</v>
          </cell>
          <cell r="N157" t="str">
            <v>IRS Curve missing</v>
          </cell>
          <cell r="O157" t="str">
            <v>IRS Curve missing</v>
          </cell>
          <cell r="P157" t="str">
            <v>IRS Curve missing</v>
          </cell>
          <cell r="Q157" t="str">
            <v>IRS Curve missing</v>
          </cell>
          <cell r="R157" t="str">
            <v>IRS Curve missing</v>
          </cell>
          <cell r="S157" t="str">
            <v>IRS Curve missing</v>
          </cell>
          <cell r="T157" t="str">
            <v>IRS Curve missing</v>
          </cell>
          <cell r="U157" t="str">
            <v>IRS Curve missing</v>
          </cell>
          <cell r="V157" t="str">
            <v>IRS Curve missing</v>
          </cell>
          <cell r="W157" t="str">
            <v>IRS Curve missing</v>
          </cell>
          <cell r="X157" t="str">
            <v>IRS Curve missing</v>
          </cell>
          <cell r="Y157" t="str">
            <v>IRS Curve missing</v>
          </cell>
          <cell r="Z157" t="str">
            <v>IRS Curve missing</v>
          </cell>
          <cell r="AA157" t="str">
            <v>IRS Curve missing</v>
          </cell>
          <cell r="AB157" t="str">
            <v>IRS Curve missing</v>
          </cell>
          <cell r="AC157" t="str">
            <v>IRS Curve missing</v>
          </cell>
          <cell r="AD157" t="str">
            <v>IRS Curve missing</v>
          </cell>
          <cell r="AE157" t="str">
            <v>IRS Curve missing</v>
          </cell>
        </row>
        <row r="158">
          <cell r="D158" t="str">
            <v>USD</v>
          </cell>
          <cell r="N158" t="str">
            <v>IRS Curve missing</v>
          </cell>
          <cell r="O158" t="str">
            <v>IRS Curve missing</v>
          </cell>
          <cell r="P158" t="str">
            <v>IRS Curve missing</v>
          </cell>
          <cell r="Q158" t="str">
            <v>IRS Curve missing</v>
          </cell>
          <cell r="R158" t="str">
            <v>IRS Curve missing</v>
          </cell>
          <cell r="S158" t="str">
            <v>IRS Curve missing</v>
          </cell>
          <cell r="T158" t="str">
            <v>IRS Curve missing</v>
          </cell>
          <cell r="U158" t="str">
            <v>IRS Curve missing</v>
          </cell>
          <cell r="V158" t="str">
            <v>IRS Curve missing</v>
          </cell>
          <cell r="W158" t="str">
            <v>IRS Curve missing</v>
          </cell>
          <cell r="X158" t="str">
            <v>IRS Curve missing</v>
          </cell>
          <cell r="Y158" t="str">
            <v>IRS Curve missing</v>
          </cell>
          <cell r="Z158" t="str">
            <v>IRS Curve missing</v>
          </cell>
          <cell r="AA158" t="str">
            <v>IRS Curve missing</v>
          </cell>
          <cell r="AB158" t="str">
            <v>IRS Curve missing</v>
          </cell>
          <cell r="AC158" t="str">
            <v>IRS Curve missing</v>
          </cell>
          <cell r="AD158" t="str">
            <v>IRS Curve missing</v>
          </cell>
          <cell r="AE158" t="str">
            <v>IRS Curve missing</v>
          </cell>
        </row>
        <row r="159">
          <cell r="D159" t="str">
            <v>USD</v>
          </cell>
          <cell r="N159" t="str">
            <v/>
          </cell>
          <cell r="O159" t="str">
            <v/>
          </cell>
          <cell r="P159">
            <v>2.4951007882807463E-3</v>
          </cell>
          <cell r="Q159" t="str">
            <v/>
          </cell>
          <cell r="R159">
            <v>2.2248777242270035E-2</v>
          </cell>
          <cell r="S159" t="str">
            <v/>
          </cell>
          <cell r="T159">
            <v>5.0522353628274952E-2</v>
          </cell>
          <cell r="U159">
            <v>9.180703620137376E-2</v>
          </cell>
          <cell r="V159">
            <v>0.16226863908604106</v>
          </cell>
          <cell r="W159" t="str">
            <v/>
          </cell>
          <cell r="X159" t="str">
            <v/>
          </cell>
          <cell r="Y159">
            <v>2.6963414115018791E-3</v>
          </cell>
          <cell r="Z159" t="str">
            <v/>
          </cell>
          <cell r="AA159">
            <v>2.3343728942719411E-2</v>
          </cell>
          <cell r="AB159" t="str">
            <v/>
          </cell>
          <cell r="AC159">
            <v>5.2995026447220872E-2</v>
          </cell>
          <cell r="AD159">
            <v>9.6235237121206629E-2</v>
          </cell>
          <cell r="AE159">
            <v>0.16987878765756992</v>
          </cell>
        </row>
        <row r="160">
          <cell r="D160" t="str">
            <v>USD</v>
          </cell>
          <cell r="N160" t="str">
            <v/>
          </cell>
          <cell r="O160" t="str">
            <v/>
          </cell>
          <cell r="P160">
            <v>6.7120682086468486E-2</v>
          </cell>
          <cell r="Q160" t="str">
            <v/>
          </cell>
          <cell r="R160">
            <v>0.1664817975797438</v>
          </cell>
          <cell r="S160" t="str">
            <v/>
          </cell>
          <cell r="T160">
            <v>0.2252387106924274</v>
          </cell>
          <cell r="U160">
            <v>0.2786820615167509</v>
          </cell>
          <cell r="V160">
            <v>0.35827815920548711</v>
          </cell>
          <cell r="W160" t="str">
            <v/>
          </cell>
          <cell r="X160" t="str">
            <v/>
          </cell>
          <cell r="Y160">
            <v>7.0355777407017261E-2</v>
          </cell>
          <cell r="Z160" t="str">
            <v/>
          </cell>
          <cell r="AA160">
            <v>0.17402942482743455</v>
          </cell>
          <cell r="AB160" t="str">
            <v/>
          </cell>
          <cell r="AC160">
            <v>0.23489069449327926</v>
          </cell>
          <cell r="AD160">
            <v>0.29009261559678245</v>
          </cell>
          <cell r="AE160">
            <v>0.37195900689341244</v>
          </cell>
        </row>
        <row r="161">
          <cell r="D161" t="str">
            <v>USD</v>
          </cell>
          <cell r="N161" t="str">
            <v/>
          </cell>
          <cell r="O161" t="str">
            <v/>
          </cell>
          <cell r="P161">
            <v>2.1830475583241027E-3</v>
          </cell>
          <cell r="Q161" t="str">
            <v/>
          </cell>
          <cell r="R161">
            <v>1.6711702164048825E-2</v>
          </cell>
          <cell r="S161" t="str">
            <v/>
          </cell>
          <cell r="T161">
            <v>4.3671281240727056E-2</v>
          </cell>
          <cell r="U161">
            <v>8.1007624028897274E-2</v>
          </cell>
          <cell r="V161">
            <v>0.15241216925824352</v>
          </cell>
          <cell r="W161" t="str">
            <v/>
          </cell>
          <cell r="X161" t="str">
            <v/>
          </cell>
          <cell r="Y161">
            <v>2.3843579715424612E-3</v>
          </cell>
          <cell r="Z161" t="str">
            <v/>
          </cell>
          <cell r="AA161">
            <v>1.7531438974737079E-2</v>
          </cell>
          <cell r="AB161" t="str">
            <v/>
          </cell>
          <cell r="AC161">
            <v>4.5817797123247517E-2</v>
          </cell>
          <cell r="AD161">
            <v>8.493396857508706E-2</v>
          </cell>
          <cell r="AE161">
            <v>0.15962171597286179</v>
          </cell>
        </row>
        <row r="162">
          <cell r="D162" t="str">
            <v>USD</v>
          </cell>
          <cell r="N162" t="str">
            <v/>
          </cell>
          <cell r="O162" t="str">
            <v/>
          </cell>
          <cell r="P162">
            <v>2.211236984336451E-3</v>
          </cell>
          <cell r="Q162" t="str">
            <v/>
          </cell>
          <cell r="R162">
            <v>8.9233108558210983E-3</v>
          </cell>
          <cell r="S162" t="str">
            <v/>
          </cell>
          <cell r="T162">
            <v>2.1612912256365857E-2</v>
          </cell>
          <cell r="U162">
            <v>3.2910604311973235E-2</v>
          </cell>
          <cell r="V162">
            <v>5.8665063799728356E-2</v>
          </cell>
          <cell r="W162" t="str">
            <v/>
          </cell>
          <cell r="X162" t="str">
            <v/>
          </cell>
          <cell r="Y162">
            <v>2.4125411332461821E-3</v>
          </cell>
          <cell r="Z162" t="str">
            <v/>
          </cell>
          <cell r="AA162">
            <v>9.4561926847041011E-3</v>
          </cell>
          <cell r="AB162" t="str">
            <v/>
          </cell>
          <cell r="AC162">
            <v>2.2664902110341889E-2</v>
          </cell>
          <cell r="AD162">
            <v>3.4515304044457351E-2</v>
          </cell>
          <cell r="AE162">
            <v>6.1510006900054703E-2</v>
          </cell>
        </row>
        <row r="163">
          <cell r="D163" t="str">
            <v>USD</v>
          </cell>
          <cell r="N163" t="str">
            <v>IRS Curve missing</v>
          </cell>
          <cell r="O163" t="str">
            <v>IRS Curve missing</v>
          </cell>
          <cell r="P163" t="str">
            <v>IRS Curve missing</v>
          </cell>
          <cell r="Q163" t="str">
            <v>IRS Curve missing</v>
          </cell>
          <cell r="R163" t="str">
            <v>IRS Curve missing</v>
          </cell>
          <cell r="S163" t="str">
            <v>IRS Curve missing</v>
          </cell>
          <cell r="T163" t="str">
            <v>IRS Curve missing</v>
          </cell>
          <cell r="U163" t="str">
            <v>IRS Curve missing</v>
          </cell>
          <cell r="V163" t="str">
            <v>IRS Curve missing</v>
          </cell>
          <cell r="W163" t="str">
            <v>IRS Curve missing</v>
          </cell>
          <cell r="X163" t="str">
            <v>IRS Curve missing</v>
          </cell>
          <cell r="Y163" t="str">
            <v>IRS Curve missing</v>
          </cell>
          <cell r="Z163" t="str">
            <v>IRS Curve missing</v>
          </cell>
          <cell r="AA163" t="str">
            <v>IRS Curve missing</v>
          </cell>
          <cell r="AB163" t="str">
            <v>IRS Curve missing</v>
          </cell>
          <cell r="AC163" t="str">
            <v>IRS Curve missing</v>
          </cell>
          <cell r="AD163" t="str">
            <v>IRS Curve missing</v>
          </cell>
          <cell r="AE163" t="str">
            <v>IRS Curve missing</v>
          </cell>
        </row>
        <row r="164">
          <cell r="D164" t="str">
            <v>USD</v>
          </cell>
          <cell r="N164" t="str">
            <v/>
          </cell>
          <cell r="O164" t="str">
            <v/>
          </cell>
          <cell r="P164">
            <v>1.0709494977400036E-3</v>
          </cell>
          <cell r="Q164" t="str">
            <v/>
          </cell>
          <cell r="R164">
            <v>7.9497911526319465E-3</v>
          </cell>
          <cell r="S164" t="str">
            <v/>
          </cell>
          <cell r="T164">
            <v>1.9080763486208685E-2</v>
          </cell>
          <cell r="U164">
            <v>3.5315292517827612E-2</v>
          </cell>
          <cell r="V164">
            <v>7.2437306825421155E-2</v>
          </cell>
          <cell r="W164" t="str">
            <v/>
          </cell>
          <cell r="X164" t="str">
            <v/>
          </cell>
          <cell r="Y164">
            <v>1.2725008256738723E-3</v>
          </cell>
          <cell r="Z164" t="str">
            <v/>
          </cell>
          <cell r="AA164">
            <v>8.483509958719937E-3</v>
          </cell>
          <cell r="AB164" t="str">
            <v/>
          </cell>
          <cell r="AC164">
            <v>1.9998148620848255E-2</v>
          </cell>
          <cell r="AD164">
            <v>3.702883421870351E-2</v>
          </cell>
          <cell r="AE164">
            <v>7.5936332879266932E-2</v>
          </cell>
        </row>
        <row r="165">
          <cell r="D165" t="str">
            <v>USD</v>
          </cell>
          <cell r="N165" t="str">
            <v>IRS Curve missing</v>
          </cell>
          <cell r="O165" t="str">
            <v>IRS Curve missing</v>
          </cell>
          <cell r="P165" t="str">
            <v>IRS Curve missing</v>
          </cell>
          <cell r="Q165" t="str">
            <v>IRS Curve missing</v>
          </cell>
          <cell r="R165" t="str">
            <v>IRS Curve missing</v>
          </cell>
          <cell r="S165" t="str">
            <v>IRS Curve missing</v>
          </cell>
          <cell r="T165" t="str">
            <v>IRS Curve missing</v>
          </cell>
          <cell r="U165" t="str">
            <v>IRS Curve missing</v>
          </cell>
          <cell r="V165" t="str">
            <v>IRS Curve missing</v>
          </cell>
          <cell r="W165" t="str">
            <v>IRS Curve missing</v>
          </cell>
          <cell r="X165" t="str">
            <v>IRS Curve missing</v>
          </cell>
          <cell r="Y165" t="str">
            <v>IRS Curve missing</v>
          </cell>
          <cell r="Z165" t="str">
            <v>IRS Curve missing</v>
          </cell>
          <cell r="AA165" t="str">
            <v>IRS Curve missing</v>
          </cell>
          <cell r="AB165" t="str">
            <v>IRS Curve missing</v>
          </cell>
          <cell r="AC165" t="str">
            <v>IRS Curve missing</v>
          </cell>
          <cell r="AD165" t="str">
            <v>IRS Curve missing</v>
          </cell>
          <cell r="AE165" t="str">
            <v>IRS Curve missing</v>
          </cell>
        </row>
        <row r="166">
          <cell r="D166" t="str">
            <v>USD</v>
          </cell>
          <cell r="N166" t="str">
            <v>IRS Curve missing</v>
          </cell>
          <cell r="O166" t="str">
            <v>IRS Curve missing</v>
          </cell>
          <cell r="P166" t="str">
            <v>IRS Curve missing</v>
          </cell>
          <cell r="Q166" t="str">
            <v>IRS Curve missing</v>
          </cell>
          <cell r="R166" t="str">
            <v>IRS Curve missing</v>
          </cell>
          <cell r="S166" t="str">
            <v>IRS Curve missing</v>
          </cell>
          <cell r="T166" t="str">
            <v>IRS Curve missing</v>
          </cell>
          <cell r="U166" t="str">
            <v>IRS Curve missing</v>
          </cell>
          <cell r="V166" t="str">
            <v>IRS Curve missing</v>
          </cell>
          <cell r="W166" t="str">
            <v>IRS Curve missing</v>
          </cell>
          <cell r="X166" t="str">
            <v>IRS Curve missing</v>
          </cell>
          <cell r="Y166" t="str">
            <v>IRS Curve missing</v>
          </cell>
          <cell r="Z166" t="str">
            <v>IRS Curve missing</v>
          </cell>
          <cell r="AA166" t="str">
            <v>IRS Curve missing</v>
          </cell>
          <cell r="AB166" t="str">
            <v>IRS Curve missing</v>
          </cell>
          <cell r="AC166" t="str">
            <v>IRS Curve missing</v>
          </cell>
          <cell r="AD166" t="str">
            <v>IRS Curve missing</v>
          </cell>
          <cell r="AE166" t="str">
            <v>IRS Curve missing</v>
          </cell>
        </row>
        <row r="167">
          <cell r="D167" t="str">
            <v>USD</v>
          </cell>
          <cell r="N167" t="str">
            <v/>
          </cell>
          <cell r="O167" t="str">
            <v/>
          </cell>
          <cell r="P167">
            <v>1.3813322372171477E-3</v>
          </cell>
          <cell r="Q167" t="str">
            <v/>
          </cell>
          <cell r="R167">
            <v>1.2483334977525962E-2</v>
          </cell>
          <cell r="S167" t="str">
            <v/>
          </cell>
          <cell r="T167">
            <v>3.0760654881714422E-2</v>
          </cell>
          <cell r="U167">
            <v>6.1726299327182765E-2</v>
          </cell>
          <cell r="V167">
            <v>0.11430015873781108</v>
          </cell>
          <cell r="W167" t="str">
            <v/>
          </cell>
          <cell r="X167" t="str">
            <v/>
          </cell>
          <cell r="Y167">
            <v>1.5828175297013525E-3</v>
          </cell>
          <cell r="Z167" t="str">
            <v/>
          </cell>
          <cell r="AA167">
            <v>1.3089357711353777E-2</v>
          </cell>
          <cell r="AB167" t="str">
            <v/>
          </cell>
          <cell r="AC167">
            <v>3.2272753978837887E-2</v>
          </cell>
          <cell r="AD167">
            <v>6.4734339755960879E-2</v>
          </cell>
          <cell r="AE167">
            <v>0.11977998532266154</v>
          </cell>
        </row>
        <row r="168">
          <cell r="D168" t="str">
            <v>USD</v>
          </cell>
          <cell r="N168" t="str">
            <v>IRS Curve missing</v>
          </cell>
          <cell r="O168" t="str">
            <v>IRS Curve missing</v>
          </cell>
          <cell r="P168" t="str">
            <v>IRS Curve missing</v>
          </cell>
          <cell r="Q168" t="str">
            <v>IRS Curve missing</v>
          </cell>
          <cell r="R168" t="str">
            <v>IRS Curve missing</v>
          </cell>
          <cell r="S168" t="str">
            <v>IRS Curve missing</v>
          </cell>
          <cell r="T168" t="str">
            <v>IRS Curve missing</v>
          </cell>
          <cell r="U168" t="str">
            <v>IRS Curve missing</v>
          </cell>
          <cell r="V168" t="str">
            <v>IRS Curve missing</v>
          </cell>
          <cell r="W168" t="str">
            <v>IRS Curve missing</v>
          </cell>
          <cell r="X168" t="str">
            <v>IRS Curve missing</v>
          </cell>
          <cell r="Y168" t="str">
            <v>IRS Curve missing</v>
          </cell>
          <cell r="Z168" t="str">
            <v>IRS Curve missing</v>
          </cell>
          <cell r="AA168" t="str">
            <v>IRS Curve missing</v>
          </cell>
          <cell r="AB168" t="str">
            <v>IRS Curve missing</v>
          </cell>
          <cell r="AC168" t="str">
            <v>IRS Curve missing</v>
          </cell>
          <cell r="AD168" t="str">
            <v>IRS Curve missing</v>
          </cell>
          <cell r="AE168" t="str">
            <v>IRS Curve missing</v>
          </cell>
        </row>
        <row r="169">
          <cell r="D169" t="str">
            <v>USD</v>
          </cell>
          <cell r="N169" t="str">
            <v>IRS Curve missing</v>
          </cell>
          <cell r="O169" t="str">
            <v>IRS Curve missing</v>
          </cell>
          <cell r="P169" t="str">
            <v>IRS Curve missing</v>
          </cell>
          <cell r="Q169" t="str">
            <v>IRS Curve missing</v>
          </cell>
          <cell r="R169" t="str">
            <v>IRS Curve missing</v>
          </cell>
          <cell r="S169" t="str">
            <v>IRS Curve missing</v>
          </cell>
          <cell r="T169" t="str">
            <v>IRS Curve missing</v>
          </cell>
          <cell r="U169" t="str">
            <v>IRS Curve missing</v>
          </cell>
          <cell r="V169" t="str">
            <v>IRS Curve missing</v>
          </cell>
          <cell r="W169" t="str">
            <v>IRS Curve missing</v>
          </cell>
          <cell r="X169" t="str">
            <v>IRS Curve missing</v>
          </cell>
          <cell r="Y169" t="str">
            <v>IRS Curve missing</v>
          </cell>
          <cell r="Z169" t="str">
            <v>IRS Curve missing</v>
          </cell>
          <cell r="AA169" t="str">
            <v>IRS Curve missing</v>
          </cell>
          <cell r="AB169" t="str">
            <v>IRS Curve missing</v>
          </cell>
          <cell r="AC169" t="str">
            <v>IRS Curve missing</v>
          </cell>
          <cell r="AD169" t="str">
            <v>IRS Curve missing</v>
          </cell>
          <cell r="AE169" t="str">
            <v>IRS Curve missing</v>
          </cell>
        </row>
        <row r="170">
          <cell r="D170" t="str">
            <v>USD</v>
          </cell>
          <cell r="N170" t="str">
            <v/>
          </cell>
          <cell r="O170" t="str">
            <v/>
          </cell>
          <cell r="P170">
            <v>1.965559746215928E-3</v>
          </cell>
          <cell r="Q170" t="str">
            <v/>
          </cell>
          <cell r="R170">
            <v>1.699306267742362E-2</v>
          </cell>
          <cell r="S170" t="str">
            <v/>
          </cell>
          <cell r="T170">
            <v>4.3669542787211246E-2</v>
          </cell>
          <cell r="U170">
            <v>7.4599881230603571E-2</v>
          </cell>
          <cell r="V170">
            <v>0.12284073313515353</v>
          </cell>
          <cell r="W170" t="str">
            <v/>
          </cell>
          <cell r="X170" t="str">
            <v/>
          </cell>
          <cell r="Y170">
            <v>2.1669182240416918E-3</v>
          </cell>
          <cell r="Z170" t="str">
            <v/>
          </cell>
          <cell r="AA170">
            <v>1.7825536097109462E-2</v>
          </cell>
          <cell r="AB170" t="str">
            <v/>
          </cell>
          <cell r="AC170">
            <v>4.581250743515386E-2</v>
          </cell>
          <cell r="AD170">
            <v>7.8231303423523357E-2</v>
          </cell>
          <cell r="AE170">
            <v>0.12867683101507355</v>
          </cell>
        </row>
        <row r="171">
          <cell r="D171" t="str">
            <v>USD</v>
          </cell>
          <cell r="N171" t="str">
            <v>IRS Curve missing</v>
          </cell>
          <cell r="O171" t="str">
            <v>IRS Curve missing</v>
          </cell>
          <cell r="P171" t="str">
            <v>IRS Curve missing</v>
          </cell>
          <cell r="Q171" t="str">
            <v>IRS Curve missing</v>
          </cell>
          <cell r="R171" t="str">
            <v>IRS Curve missing</v>
          </cell>
          <cell r="S171" t="str">
            <v>IRS Curve missing</v>
          </cell>
          <cell r="T171" t="str">
            <v>IRS Curve missing</v>
          </cell>
          <cell r="U171" t="str">
            <v>IRS Curve missing</v>
          </cell>
          <cell r="V171" t="str">
            <v>IRS Curve missing</v>
          </cell>
          <cell r="W171" t="str">
            <v>IRS Curve missing</v>
          </cell>
          <cell r="X171" t="str">
            <v>IRS Curve missing</v>
          </cell>
          <cell r="Y171" t="str">
            <v>IRS Curve missing</v>
          </cell>
          <cell r="Z171" t="str">
            <v>IRS Curve missing</v>
          </cell>
          <cell r="AA171" t="str">
            <v>IRS Curve missing</v>
          </cell>
          <cell r="AB171" t="str">
            <v>IRS Curve missing</v>
          </cell>
          <cell r="AC171" t="str">
            <v>IRS Curve missing</v>
          </cell>
          <cell r="AD171" t="str">
            <v>IRS Curve missing</v>
          </cell>
          <cell r="AE171" t="str">
            <v>IRS Curve missing</v>
          </cell>
        </row>
        <row r="172">
          <cell r="D172" t="str">
            <v>USD</v>
          </cell>
          <cell r="N172" t="str">
            <v>IRS Curve missing</v>
          </cell>
          <cell r="O172" t="str">
            <v>IRS Curve missing</v>
          </cell>
          <cell r="P172" t="str">
            <v>IRS Curve missing</v>
          </cell>
          <cell r="Q172" t="str">
            <v>IRS Curve missing</v>
          </cell>
          <cell r="R172" t="str">
            <v>IRS Curve missing</v>
          </cell>
          <cell r="S172" t="str">
            <v>IRS Curve missing</v>
          </cell>
          <cell r="T172" t="str">
            <v>IRS Curve missing</v>
          </cell>
          <cell r="U172" t="str">
            <v>IRS Curve missing</v>
          </cell>
          <cell r="V172" t="str">
            <v>IRS Curve missing</v>
          </cell>
          <cell r="W172" t="str">
            <v>IRS Curve missing</v>
          </cell>
          <cell r="X172" t="str">
            <v>IRS Curve missing</v>
          </cell>
          <cell r="Y172" t="str">
            <v>IRS Curve missing</v>
          </cell>
          <cell r="Z172" t="str">
            <v>IRS Curve missing</v>
          </cell>
          <cell r="AA172" t="str">
            <v>IRS Curve missing</v>
          </cell>
          <cell r="AB172" t="str">
            <v>IRS Curve missing</v>
          </cell>
          <cell r="AC172" t="str">
            <v>IRS Curve missing</v>
          </cell>
          <cell r="AD172" t="str">
            <v>IRS Curve missing</v>
          </cell>
          <cell r="AE172" t="str">
            <v>IRS Curve missing</v>
          </cell>
        </row>
        <row r="173">
          <cell r="D173" t="str">
            <v>USD</v>
          </cell>
          <cell r="N173" t="str">
            <v>IRS Curve missing</v>
          </cell>
          <cell r="O173" t="str">
            <v>IRS Curve missing</v>
          </cell>
          <cell r="P173" t="str">
            <v>IRS Curve missing</v>
          </cell>
          <cell r="Q173" t="str">
            <v>IRS Curve missing</v>
          </cell>
          <cell r="R173" t="str">
            <v>IRS Curve missing</v>
          </cell>
          <cell r="S173" t="str">
            <v>IRS Curve missing</v>
          </cell>
          <cell r="T173" t="str">
            <v>IRS Curve missing</v>
          </cell>
          <cell r="U173" t="str">
            <v>IRS Curve missing</v>
          </cell>
          <cell r="V173" t="str">
            <v>IRS Curve missing</v>
          </cell>
          <cell r="W173" t="str">
            <v>IRS Curve missing</v>
          </cell>
          <cell r="X173" t="str">
            <v>IRS Curve missing</v>
          </cell>
          <cell r="Y173" t="str">
            <v>IRS Curve missing</v>
          </cell>
          <cell r="Z173" t="str">
            <v>IRS Curve missing</v>
          </cell>
          <cell r="AA173" t="str">
            <v>IRS Curve missing</v>
          </cell>
          <cell r="AB173" t="str">
            <v>IRS Curve missing</v>
          </cell>
          <cell r="AC173" t="str">
            <v>IRS Curve missing</v>
          </cell>
          <cell r="AD173" t="str">
            <v>IRS Curve missing</v>
          </cell>
          <cell r="AE173" t="str">
            <v>IRS Curve missing</v>
          </cell>
        </row>
        <row r="174">
          <cell r="D174" t="str">
            <v>USD</v>
          </cell>
          <cell r="N174" t="str">
            <v>IRS Curve missing</v>
          </cell>
          <cell r="O174" t="str">
            <v>IRS Curve missing</v>
          </cell>
          <cell r="P174" t="str">
            <v>IRS Curve missing</v>
          </cell>
          <cell r="Q174" t="str">
            <v>IRS Curve missing</v>
          </cell>
          <cell r="R174" t="str">
            <v>IRS Curve missing</v>
          </cell>
          <cell r="S174" t="str">
            <v>IRS Curve missing</v>
          </cell>
          <cell r="T174" t="str">
            <v>IRS Curve missing</v>
          </cell>
          <cell r="U174" t="str">
            <v>IRS Curve missing</v>
          </cell>
          <cell r="V174" t="str">
            <v>IRS Curve missing</v>
          </cell>
          <cell r="W174" t="str">
            <v>IRS Curve missing</v>
          </cell>
          <cell r="X174" t="str">
            <v>IRS Curve missing</v>
          </cell>
          <cell r="Y174" t="str">
            <v>IRS Curve missing</v>
          </cell>
          <cell r="Z174" t="str">
            <v>IRS Curve missing</v>
          </cell>
          <cell r="AA174" t="str">
            <v>IRS Curve missing</v>
          </cell>
          <cell r="AB174" t="str">
            <v>IRS Curve missing</v>
          </cell>
          <cell r="AC174" t="str">
            <v>IRS Curve missing</v>
          </cell>
          <cell r="AD174" t="str">
            <v>IRS Curve missing</v>
          </cell>
          <cell r="AE174" t="str">
            <v>IRS Curve missing</v>
          </cell>
        </row>
        <row r="175">
          <cell r="D175" t="str">
            <v>USD</v>
          </cell>
          <cell r="N175" t="str">
            <v>IRS Curve missing</v>
          </cell>
          <cell r="O175" t="str">
            <v>IRS Curve missing</v>
          </cell>
          <cell r="P175" t="str">
            <v>IRS Curve missing</v>
          </cell>
          <cell r="Q175" t="str">
            <v>IRS Curve missing</v>
          </cell>
          <cell r="R175" t="str">
            <v>IRS Curve missing</v>
          </cell>
          <cell r="S175" t="str">
            <v>IRS Curve missing</v>
          </cell>
          <cell r="T175" t="str">
            <v>IRS Curve missing</v>
          </cell>
          <cell r="U175" t="str">
            <v>IRS Curve missing</v>
          </cell>
          <cell r="V175" t="str">
            <v>IRS Curve missing</v>
          </cell>
          <cell r="W175" t="str">
            <v>IRS Curve missing</v>
          </cell>
          <cell r="X175" t="str">
            <v>IRS Curve missing</v>
          </cell>
          <cell r="Y175" t="str">
            <v>IRS Curve missing</v>
          </cell>
          <cell r="Z175" t="str">
            <v>IRS Curve missing</v>
          </cell>
          <cell r="AA175" t="str">
            <v>IRS Curve missing</v>
          </cell>
          <cell r="AB175" t="str">
            <v>IRS Curve missing</v>
          </cell>
          <cell r="AC175" t="str">
            <v>IRS Curve missing</v>
          </cell>
          <cell r="AD175" t="str">
            <v>IRS Curve missing</v>
          </cell>
          <cell r="AE175" t="str">
            <v>IRS Curve missing</v>
          </cell>
        </row>
        <row r="176">
          <cell r="D176" t="str">
            <v>USD</v>
          </cell>
          <cell r="N176" t="str">
            <v>IRS Curve missing</v>
          </cell>
          <cell r="O176" t="str">
            <v>IRS Curve missing</v>
          </cell>
          <cell r="P176" t="str">
            <v>IRS Curve missing</v>
          </cell>
          <cell r="Q176" t="str">
            <v>IRS Curve missing</v>
          </cell>
          <cell r="R176" t="str">
            <v>IRS Curve missing</v>
          </cell>
          <cell r="S176" t="str">
            <v>IRS Curve missing</v>
          </cell>
          <cell r="T176" t="str">
            <v>IRS Curve missing</v>
          </cell>
          <cell r="U176" t="str">
            <v>IRS Curve missing</v>
          </cell>
          <cell r="V176" t="str">
            <v>IRS Curve missing</v>
          </cell>
          <cell r="W176" t="str">
            <v>IRS Curve missing</v>
          </cell>
          <cell r="X176" t="str">
            <v>IRS Curve missing</v>
          </cell>
          <cell r="Y176" t="str">
            <v>IRS Curve missing</v>
          </cell>
          <cell r="Z176" t="str">
            <v>IRS Curve missing</v>
          </cell>
          <cell r="AA176" t="str">
            <v>IRS Curve missing</v>
          </cell>
          <cell r="AB176" t="str">
            <v>IRS Curve missing</v>
          </cell>
          <cell r="AC176" t="str">
            <v>IRS Curve missing</v>
          </cell>
          <cell r="AD176" t="str">
            <v>IRS Curve missing</v>
          </cell>
          <cell r="AE176" t="str">
            <v>IRS Curve missing</v>
          </cell>
        </row>
        <row r="177">
          <cell r="D177" t="str">
            <v>USD</v>
          </cell>
          <cell r="N177" t="str">
            <v>IRS Curve missing</v>
          </cell>
          <cell r="O177" t="str">
            <v>IRS Curve missing</v>
          </cell>
          <cell r="P177" t="str">
            <v>IRS Curve missing</v>
          </cell>
          <cell r="Q177" t="str">
            <v>IRS Curve missing</v>
          </cell>
          <cell r="R177" t="str">
            <v>IRS Curve missing</v>
          </cell>
          <cell r="S177" t="str">
            <v>IRS Curve missing</v>
          </cell>
          <cell r="T177" t="str">
            <v>IRS Curve missing</v>
          </cell>
          <cell r="U177" t="str">
            <v>IRS Curve missing</v>
          </cell>
          <cell r="V177" t="str">
            <v>IRS Curve missing</v>
          </cell>
          <cell r="W177" t="str">
            <v>IRS Curve missing</v>
          </cell>
          <cell r="X177" t="str">
            <v>IRS Curve missing</v>
          </cell>
          <cell r="Y177" t="str">
            <v>IRS Curve missing</v>
          </cell>
          <cell r="Z177" t="str">
            <v>IRS Curve missing</v>
          </cell>
          <cell r="AA177" t="str">
            <v>IRS Curve missing</v>
          </cell>
          <cell r="AB177" t="str">
            <v>IRS Curve missing</v>
          </cell>
          <cell r="AC177" t="str">
            <v>IRS Curve missing</v>
          </cell>
          <cell r="AD177" t="str">
            <v>IRS Curve missing</v>
          </cell>
          <cell r="AE177" t="str">
            <v>IRS Curve missing</v>
          </cell>
        </row>
        <row r="178">
          <cell r="D178" t="str">
            <v>USD</v>
          </cell>
          <cell r="N178" t="str">
            <v>IRS Curve missing</v>
          </cell>
          <cell r="O178" t="str">
            <v>IRS Curve missing</v>
          </cell>
          <cell r="P178" t="str">
            <v>IRS Curve missing</v>
          </cell>
          <cell r="Q178" t="str">
            <v>IRS Curve missing</v>
          </cell>
          <cell r="R178" t="str">
            <v>IRS Curve missing</v>
          </cell>
          <cell r="S178" t="str">
            <v>IRS Curve missing</v>
          </cell>
          <cell r="T178" t="str">
            <v>IRS Curve missing</v>
          </cell>
          <cell r="U178" t="str">
            <v>IRS Curve missing</v>
          </cell>
          <cell r="V178" t="str">
            <v>IRS Curve missing</v>
          </cell>
          <cell r="W178" t="str">
            <v>IRS Curve missing</v>
          </cell>
          <cell r="X178" t="str">
            <v>IRS Curve missing</v>
          </cell>
          <cell r="Y178" t="str">
            <v>IRS Curve missing</v>
          </cell>
          <cell r="Z178" t="str">
            <v>IRS Curve missing</v>
          </cell>
          <cell r="AA178" t="str">
            <v>IRS Curve missing</v>
          </cell>
          <cell r="AB178" t="str">
            <v>IRS Curve missing</v>
          </cell>
          <cell r="AC178" t="str">
            <v>IRS Curve missing</v>
          </cell>
          <cell r="AD178" t="str">
            <v>IRS Curve missing</v>
          </cell>
          <cell r="AE178" t="str">
            <v>IRS Curve missing</v>
          </cell>
        </row>
        <row r="179">
          <cell r="D179" t="str">
            <v>USD</v>
          </cell>
          <cell r="N179" t="str">
            <v/>
          </cell>
          <cell r="O179" t="str">
            <v/>
          </cell>
          <cell r="P179">
            <v>7.3627398125475363E-4</v>
          </cell>
          <cell r="Q179" t="str">
            <v/>
          </cell>
          <cell r="R179">
            <v>1.3193201599616344E-2</v>
          </cell>
          <cell r="S179" t="str">
            <v/>
          </cell>
          <cell r="T179">
            <v>2.7072953274400846E-2</v>
          </cell>
          <cell r="U179">
            <v>4.8800730185148744E-2</v>
          </cell>
          <cell r="V179">
            <v>8.7336815382760724E-2</v>
          </cell>
          <cell r="W179" t="str">
            <v/>
          </cell>
          <cell r="X179" t="str">
            <v/>
          </cell>
          <cell r="Y179">
            <v>9.3789549536638095E-4</v>
          </cell>
          <cell r="Z179" t="str">
            <v/>
          </cell>
          <cell r="AA179">
            <v>1.3830898358970445E-2</v>
          </cell>
          <cell r="AB179" t="str">
            <v/>
          </cell>
          <cell r="AC179">
            <v>2.8401081471731149E-2</v>
          </cell>
          <cell r="AD179">
            <v>5.1178474407987062E-2</v>
          </cell>
          <cell r="AE179">
            <v>9.155491241175584E-2</v>
          </cell>
        </row>
        <row r="180">
          <cell r="D180" t="str">
            <v>USD</v>
          </cell>
          <cell r="N180" t="str">
            <v/>
          </cell>
          <cell r="O180" t="str">
            <v/>
          </cell>
          <cell r="P180">
            <v>2.7627855202966289E-3</v>
          </cell>
          <cell r="Q180" t="str">
            <v/>
          </cell>
          <cell r="R180">
            <v>1.0487976419550238E-2</v>
          </cell>
          <cell r="S180" t="str">
            <v/>
          </cell>
          <cell r="T180">
            <v>2.9988952446872275E-2</v>
          </cell>
          <cell r="U180">
            <v>5.5506999910999499E-2</v>
          </cell>
          <cell r="V180">
            <v>9.4205911523607799E-2</v>
          </cell>
          <cell r="W180" t="str">
            <v/>
          </cell>
          <cell r="X180" t="str">
            <v/>
          </cell>
          <cell r="Y180">
            <v>2.9639654898850898E-3</v>
          </cell>
          <cell r="Z180" t="str">
            <v/>
          </cell>
          <cell r="AA180">
            <v>1.1020035113406546E-2</v>
          </cell>
          <cell r="AB180" t="str">
            <v/>
          </cell>
          <cell r="AC180">
            <v>3.1487143887045321E-2</v>
          </cell>
          <cell r="AD180">
            <v>5.8216382655377874E-2</v>
          </cell>
          <cell r="AE180">
            <v>9.8738718100872314E-2</v>
          </cell>
        </row>
        <row r="181">
          <cell r="D181" t="str">
            <v>USD</v>
          </cell>
          <cell r="N181" t="str">
            <v/>
          </cell>
          <cell r="O181" t="str">
            <v/>
          </cell>
          <cell r="P181">
            <v>8.8951271176029856E-4</v>
          </cell>
          <cell r="Q181" t="str">
            <v/>
          </cell>
          <cell r="R181">
            <v>7.9679697596870547E-3</v>
          </cell>
          <cell r="S181" t="str">
            <v/>
          </cell>
          <cell r="T181">
            <v>1.8193537585517561E-2</v>
          </cell>
          <cell r="U181">
            <v>3.4801979313501152E-2</v>
          </cell>
          <cell r="V181">
            <v>6.5608321691602023E-2</v>
          </cell>
          <cell r="W181" t="str">
            <v/>
          </cell>
          <cell r="X181" t="str">
            <v/>
          </cell>
          <cell r="Y181">
            <v>1.0911022195048137E-3</v>
          </cell>
          <cell r="Z181" t="str">
            <v/>
          </cell>
          <cell r="AA181">
            <v>8.5017555228126263E-3</v>
          </cell>
          <cell r="AB181" t="str">
            <v/>
          </cell>
          <cell r="AC181">
            <v>1.9065679490067766E-2</v>
          </cell>
          <cell r="AD181">
            <v>3.6491086555231256E-2</v>
          </cell>
          <cell r="AE181">
            <v>6.8778402421956319E-2</v>
          </cell>
        </row>
        <row r="182">
          <cell r="D182" t="str">
            <v>USD</v>
          </cell>
          <cell r="N182" t="str">
            <v/>
          </cell>
          <cell r="O182" t="str">
            <v/>
          </cell>
          <cell r="P182">
            <v>1.5445471303380254E-3</v>
          </cell>
          <cell r="Q182" t="str">
            <v/>
          </cell>
          <cell r="R182">
            <v>1.3780729139747261E-2</v>
          </cell>
          <cell r="S182" t="str">
            <v/>
          </cell>
          <cell r="T182">
            <v>2.8743298544407492E-2</v>
          </cell>
          <cell r="U182">
            <v>5.2938335165781947E-2</v>
          </cell>
          <cell r="V182">
            <v>9.0754808376618534E-2</v>
          </cell>
          <cell r="W182" t="str">
            <v/>
          </cell>
          <cell r="X182" t="str">
            <v/>
          </cell>
          <cell r="Y182">
            <v>1.7459973284162933E-3</v>
          </cell>
          <cell r="Z182" t="str">
            <v/>
          </cell>
          <cell r="AA182">
            <v>1.4451922136720863E-2</v>
          </cell>
          <cell r="AB182" t="str">
            <v/>
          </cell>
          <cell r="AC182">
            <v>3.0155619793825195E-2</v>
          </cell>
          <cell r="AD182">
            <v>5.5520030841742507E-2</v>
          </cell>
          <cell r="AE182">
            <v>9.5128424158073543E-2</v>
          </cell>
        </row>
        <row r="183">
          <cell r="D183" t="str">
            <v>USD</v>
          </cell>
          <cell r="N183" t="str">
            <v>IRS Curve missing</v>
          </cell>
          <cell r="O183" t="str">
            <v>IRS Curve missing</v>
          </cell>
          <cell r="P183" t="str">
            <v>IRS Curve missing</v>
          </cell>
          <cell r="Q183" t="str">
            <v>IRS Curve missing</v>
          </cell>
          <cell r="R183" t="str">
            <v>IRS Curve missing</v>
          </cell>
          <cell r="S183" t="str">
            <v>IRS Curve missing</v>
          </cell>
          <cell r="T183" t="str">
            <v>IRS Curve missing</v>
          </cell>
          <cell r="U183" t="str">
            <v>IRS Curve missing</v>
          </cell>
          <cell r="V183" t="str">
            <v>IRS Curve missing</v>
          </cell>
          <cell r="W183" t="str">
            <v>IRS Curve missing</v>
          </cell>
          <cell r="X183" t="str">
            <v>IRS Curve missing</v>
          </cell>
          <cell r="Y183" t="str">
            <v>IRS Curve missing</v>
          </cell>
          <cell r="Z183" t="str">
            <v>IRS Curve missing</v>
          </cell>
          <cell r="AA183" t="str">
            <v>IRS Curve missing</v>
          </cell>
          <cell r="AB183" t="str">
            <v>IRS Curve missing</v>
          </cell>
          <cell r="AC183" t="str">
            <v>IRS Curve missing</v>
          </cell>
          <cell r="AD183" t="str">
            <v>IRS Curve missing</v>
          </cell>
          <cell r="AE183" t="str">
            <v>IRS Curve missing</v>
          </cell>
        </row>
        <row r="184">
          <cell r="D184" t="str">
            <v>USD</v>
          </cell>
          <cell r="N184" t="str">
            <v/>
          </cell>
          <cell r="O184">
            <v>6.5879470752538971E-4</v>
          </cell>
          <cell r="P184">
            <v>1.4166691516551699E-3</v>
          </cell>
          <cell r="Q184">
            <v>4.1857029131547874E-3</v>
          </cell>
          <cell r="R184">
            <v>8.4226756769574251E-3</v>
          </cell>
          <cell r="S184" t="str">
            <v/>
          </cell>
          <cell r="T184">
            <v>2.1343626692695628E-2</v>
          </cell>
          <cell r="U184">
            <v>3.2832726558384207E-2</v>
          </cell>
          <cell r="V184">
            <v>5.4414423389753774E-2</v>
          </cell>
          <cell r="W184" t="str">
            <v/>
          </cell>
          <cell r="X184">
            <v>7.7638976550165051E-4</v>
          </cell>
          <cell r="Y184">
            <v>1.6181743616614508E-3</v>
          </cell>
          <cell r="Z184">
            <v>4.5538868475430982E-3</v>
          </cell>
          <cell r="AA184">
            <v>8.9560283859606571E-3</v>
          </cell>
          <cell r="AB184" t="str">
            <v/>
          </cell>
          <cell r="AC184">
            <v>2.2376001459280093E-2</v>
          </cell>
          <cell r="AD184">
            <v>3.4428137581027252E-2</v>
          </cell>
          <cell r="AE184">
            <v>5.7046172130904904E-2</v>
          </cell>
        </row>
        <row r="185">
          <cell r="D185" t="str">
            <v>USD</v>
          </cell>
          <cell r="N185" t="str">
            <v>IRS Curve missing</v>
          </cell>
          <cell r="O185" t="str">
            <v>IRS Curve missing</v>
          </cell>
          <cell r="P185" t="str">
            <v>IRS Curve missing</v>
          </cell>
          <cell r="Q185" t="str">
            <v>IRS Curve missing</v>
          </cell>
          <cell r="R185" t="str">
            <v>IRS Curve missing</v>
          </cell>
          <cell r="S185" t="str">
            <v>IRS Curve missing</v>
          </cell>
          <cell r="T185" t="str">
            <v>IRS Curve missing</v>
          </cell>
          <cell r="U185" t="str">
            <v>IRS Curve missing</v>
          </cell>
          <cell r="V185" t="str">
            <v>IRS Curve missing</v>
          </cell>
          <cell r="W185" t="str">
            <v>IRS Curve missing</v>
          </cell>
          <cell r="X185" t="str">
            <v>IRS Curve missing</v>
          </cell>
          <cell r="Y185" t="str">
            <v>IRS Curve missing</v>
          </cell>
          <cell r="Z185" t="str">
            <v>IRS Curve missing</v>
          </cell>
          <cell r="AA185" t="str">
            <v>IRS Curve missing</v>
          </cell>
          <cell r="AB185" t="str">
            <v>IRS Curve missing</v>
          </cell>
          <cell r="AC185" t="str">
            <v>IRS Curve missing</v>
          </cell>
          <cell r="AD185" t="str">
            <v>IRS Curve missing</v>
          </cell>
          <cell r="AE185" t="str">
            <v>IRS Curve missing</v>
          </cell>
        </row>
        <row r="186">
          <cell r="D186" t="str">
            <v>USD</v>
          </cell>
          <cell r="N186" t="str">
            <v/>
          </cell>
          <cell r="O186" t="str">
            <v/>
          </cell>
          <cell r="P186">
            <v>2.1327073348914594E-3</v>
          </cell>
          <cell r="Q186" t="str">
            <v/>
          </cell>
          <cell r="R186">
            <v>1.0643103308262791E-2</v>
          </cell>
          <cell r="S186" t="str">
            <v/>
          </cell>
          <cell r="T186">
            <v>2.3198430020153094E-2</v>
          </cell>
          <cell r="U186">
            <v>3.3875334973316296E-2</v>
          </cell>
          <cell r="V186">
            <v>5.5712618263337732E-2</v>
          </cell>
          <cell r="W186" t="str">
            <v/>
          </cell>
          <cell r="X186" t="str">
            <v/>
          </cell>
          <cell r="Y186">
            <v>2.3340289150790561E-3</v>
          </cell>
          <cell r="Z186" t="str">
            <v/>
          </cell>
          <cell r="AA186">
            <v>1.1175358115757095E-2</v>
          </cell>
          <cell r="AB186" t="str">
            <v/>
          </cell>
          <cell r="AC186">
            <v>2.434126844988227E-2</v>
          </cell>
          <cell r="AD186">
            <v>3.5530602719762494E-2</v>
          </cell>
          <cell r="AE186">
            <v>5.8427716106593253E-2</v>
          </cell>
        </row>
        <row r="187">
          <cell r="D187" t="str">
            <v>USD</v>
          </cell>
          <cell r="N187" t="str">
            <v/>
          </cell>
          <cell r="O187" t="str">
            <v/>
          </cell>
          <cell r="P187">
            <v>2.430684816614237E-3</v>
          </cell>
          <cell r="Q187" t="str">
            <v/>
          </cell>
          <cell r="R187">
            <v>1.6615226807230599E-2</v>
          </cell>
          <cell r="S187" t="str">
            <v/>
          </cell>
          <cell r="T187">
            <v>4.3220189377393359E-2</v>
          </cell>
          <cell r="U187">
            <v>7.1851304473422029E-2</v>
          </cell>
          <cell r="V187">
            <v>0.11841835453791949</v>
          </cell>
          <cell r="W187" t="str">
            <v/>
          </cell>
          <cell r="X187" t="str">
            <v/>
          </cell>
          <cell r="Y187">
            <v>2.6319399267051846E-3</v>
          </cell>
          <cell r="Z187" t="str">
            <v/>
          </cell>
          <cell r="AA187">
            <v>1.7431534900161805E-2</v>
          </cell>
          <cell r="AB187" t="str">
            <v/>
          </cell>
          <cell r="AC187">
            <v>4.5344718987314958E-2</v>
          </cell>
          <cell r="AD187">
            <v>7.53323767403411E-2</v>
          </cell>
          <cell r="AE187">
            <v>0.12405597312595396</v>
          </cell>
        </row>
        <row r="188">
          <cell r="D188" t="str">
            <v>USD</v>
          </cell>
          <cell r="N188" t="str">
            <v/>
          </cell>
          <cell r="O188" t="str">
            <v/>
          </cell>
          <cell r="P188">
            <v>5.3313514715268573E-3</v>
          </cell>
          <cell r="Q188" t="str">
            <v/>
          </cell>
          <cell r="R188">
            <v>2.6327169853889498E-2</v>
          </cell>
          <cell r="S188" t="str">
            <v/>
          </cell>
          <cell r="T188">
            <v>6.4436076090808592E-2</v>
          </cell>
          <cell r="U188">
            <v>0.10177890355996277</v>
          </cell>
          <cell r="V188">
            <v>0.16022064352841314</v>
          </cell>
          <cell r="W188" t="str">
            <v/>
          </cell>
          <cell r="X188" t="str">
            <v/>
          </cell>
          <cell r="Y188">
            <v>5.5970276673805719E-3</v>
          </cell>
          <cell r="Z188" t="str">
            <v/>
          </cell>
          <cell r="AA188">
            <v>2.7630064209828165E-2</v>
          </cell>
          <cell r="AB188" t="str">
            <v/>
          </cell>
          <cell r="AC188">
            <v>6.7580758819195563E-2</v>
          </cell>
          <cell r="AD188">
            <v>0.1066574315020713</v>
          </cell>
          <cell r="AE188">
            <v>0.16767996400410723</v>
          </cell>
        </row>
        <row r="189">
          <cell r="D189" t="str">
            <v>USD</v>
          </cell>
          <cell r="N189" t="str">
            <v/>
          </cell>
          <cell r="O189" t="str">
            <v/>
          </cell>
          <cell r="P189">
            <v>2.923764619232605E-3</v>
          </cell>
          <cell r="Q189" t="str">
            <v/>
          </cell>
          <cell r="R189">
            <v>2.4062834617871287E-2</v>
          </cell>
          <cell r="S189" t="str">
            <v/>
          </cell>
          <cell r="T189">
            <v>6.0541426886821403E-2</v>
          </cell>
          <cell r="U189">
            <v>9.9561942229041689E-2</v>
          </cell>
          <cell r="V189">
            <v>0.17049567522731723</v>
          </cell>
          <cell r="W189" t="str">
            <v/>
          </cell>
          <cell r="X189" t="str">
            <v/>
          </cell>
          <cell r="Y189">
            <v>3.1249077593297203E-3</v>
          </cell>
          <cell r="Z189" t="str">
            <v/>
          </cell>
          <cell r="AA189">
            <v>2.5249559682413714E-2</v>
          </cell>
          <cell r="AB189" t="str">
            <v/>
          </cell>
          <cell r="AC189">
            <v>6.3499696592622557E-2</v>
          </cell>
          <cell r="AD189">
            <v>0.10434181286035993</v>
          </cell>
          <cell r="AE189">
            <v>0.17844571544246179</v>
          </cell>
        </row>
        <row r="190">
          <cell r="D190" t="str">
            <v>USD</v>
          </cell>
          <cell r="N190" t="str">
            <v/>
          </cell>
          <cell r="O190" t="str">
            <v/>
          </cell>
          <cell r="P190">
            <v>3.4025252788481009E-3</v>
          </cell>
          <cell r="Q190" t="str">
            <v/>
          </cell>
          <cell r="R190">
            <v>1.4377482180427337E-2</v>
          </cell>
          <cell r="S190" t="str">
            <v/>
          </cell>
          <cell r="T190">
            <v>2.8937433165076687E-2</v>
          </cell>
          <cell r="U190">
            <v>4.0184109670431623E-2</v>
          </cell>
          <cell r="V190">
            <v>5.9223638692127323E-2</v>
          </cell>
          <cell r="W190" t="str">
            <v/>
          </cell>
          <cell r="X190" t="str">
            <v/>
          </cell>
          <cell r="Y190">
            <v>3.6035572916115477E-3</v>
          </cell>
          <cell r="Z190" t="str">
            <v/>
          </cell>
          <cell r="AA190">
            <v>1.5088048793085673E-2</v>
          </cell>
          <cell r="AB190" t="str">
            <v/>
          </cell>
          <cell r="AC190">
            <v>3.0364631708454493E-2</v>
          </cell>
          <cell r="AD190">
            <v>4.215086301928006E-2</v>
          </cell>
          <cell r="AE190">
            <v>6.2099971779362884E-2</v>
          </cell>
        </row>
        <row r="191">
          <cell r="D191" t="str">
            <v>USD</v>
          </cell>
          <cell r="N191" t="str">
            <v>IRS Curve missing</v>
          </cell>
          <cell r="O191" t="str">
            <v>IRS Curve missing</v>
          </cell>
          <cell r="P191" t="str">
            <v>IRS Curve missing</v>
          </cell>
          <cell r="Q191" t="str">
            <v>IRS Curve missing</v>
          </cell>
          <cell r="R191" t="str">
            <v>IRS Curve missing</v>
          </cell>
          <cell r="S191" t="str">
            <v>IRS Curve missing</v>
          </cell>
          <cell r="T191" t="str">
            <v>IRS Curve missing</v>
          </cell>
          <cell r="U191" t="str">
            <v>IRS Curve missing</v>
          </cell>
          <cell r="V191" t="str">
            <v>IRS Curve missing</v>
          </cell>
          <cell r="W191" t="str">
            <v>IRS Curve missing</v>
          </cell>
          <cell r="X191" t="str">
            <v>IRS Curve missing</v>
          </cell>
          <cell r="Y191" t="str">
            <v>IRS Curve missing</v>
          </cell>
          <cell r="Z191" t="str">
            <v>IRS Curve missing</v>
          </cell>
          <cell r="AA191" t="str">
            <v>IRS Curve missing</v>
          </cell>
          <cell r="AB191" t="str">
            <v>IRS Curve missing</v>
          </cell>
          <cell r="AC191" t="str">
            <v>IRS Curve missing</v>
          </cell>
          <cell r="AD191" t="str">
            <v>IRS Curve missing</v>
          </cell>
          <cell r="AE191" t="str">
            <v>IRS Curve missing</v>
          </cell>
        </row>
        <row r="192">
          <cell r="D192" t="str">
            <v>USD</v>
          </cell>
          <cell r="N192" t="str">
            <v>IRS Curve missing</v>
          </cell>
          <cell r="O192" t="str">
            <v>IRS Curve missing</v>
          </cell>
          <cell r="P192" t="str">
            <v>IRS Curve missing</v>
          </cell>
          <cell r="Q192" t="str">
            <v>IRS Curve missing</v>
          </cell>
          <cell r="R192" t="str">
            <v>IRS Curve missing</v>
          </cell>
          <cell r="S192" t="str">
            <v>IRS Curve missing</v>
          </cell>
          <cell r="T192" t="str">
            <v>IRS Curve missing</v>
          </cell>
          <cell r="U192" t="str">
            <v>IRS Curve missing</v>
          </cell>
          <cell r="V192" t="str">
            <v>IRS Curve missing</v>
          </cell>
          <cell r="W192" t="str">
            <v>IRS Curve missing</v>
          </cell>
          <cell r="X192" t="str">
            <v>IRS Curve missing</v>
          </cell>
          <cell r="Y192" t="str">
            <v>IRS Curve missing</v>
          </cell>
          <cell r="Z192" t="str">
            <v>IRS Curve missing</v>
          </cell>
          <cell r="AA192" t="str">
            <v>IRS Curve missing</v>
          </cell>
          <cell r="AB192" t="str">
            <v>IRS Curve missing</v>
          </cell>
          <cell r="AC192" t="str">
            <v>IRS Curve missing</v>
          </cell>
          <cell r="AD192" t="str">
            <v>IRS Curve missing</v>
          </cell>
          <cell r="AE192" t="str">
            <v>IRS Curve missing</v>
          </cell>
        </row>
        <row r="193">
          <cell r="D193" t="str">
            <v>USD</v>
          </cell>
          <cell r="N193" t="str">
            <v/>
          </cell>
          <cell r="O193" t="str">
            <v/>
          </cell>
          <cell r="P193">
            <v>9.6612333957823981E-4</v>
          </cell>
          <cell r="Q193" t="str">
            <v/>
          </cell>
          <cell r="R193">
            <v>7.8772075165041144E-3</v>
          </cell>
          <cell r="S193" t="str">
            <v/>
          </cell>
          <cell r="T193">
            <v>1.8640104853173134E-2</v>
          </cell>
          <cell r="U193">
            <v>3.4938070559253576E-2</v>
          </cell>
          <cell r="V193">
            <v>6.4282623289265373E-2</v>
          </cell>
          <cell r="W193" t="str">
            <v/>
          </cell>
          <cell r="X193" t="str">
            <v/>
          </cell>
          <cell r="Y193">
            <v>1.1676967638273306E-3</v>
          </cell>
          <cell r="Z193" t="str">
            <v/>
          </cell>
          <cell r="AA193">
            <v>8.4109971381526316E-3</v>
          </cell>
          <cell r="AB193" t="str">
            <v/>
          </cell>
          <cell r="AC193">
            <v>1.9534969335792685E-2</v>
          </cell>
          <cell r="AD193">
            <v>3.6631991740183167E-2</v>
          </cell>
          <cell r="AE193">
            <v>6.7387789480011007E-2</v>
          </cell>
        </row>
        <row r="194">
          <cell r="D194" t="str">
            <v>USD</v>
          </cell>
          <cell r="N194" t="str">
            <v/>
          </cell>
          <cell r="O194" t="str">
            <v/>
          </cell>
          <cell r="P194">
            <v>1.7238515274753397E-3</v>
          </cell>
          <cell r="Q194" t="str">
            <v/>
          </cell>
          <cell r="R194">
            <v>1.0065344779827901E-2</v>
          </cell>
          <cell r="S194" t="str">
            <v/>
          </cell>
          <cell r="T194">
            <v>2.6054380004187583E-2</v>
          </cell>
          <cell r="U194">
            <v>3.8938375490016552E-2</v>
          </cell>
          <cell r="V194">
            <v>6.7270227101430491E-2</v>
          </cell>
          <cell r="W194" t="str">
            <v/>
          </cell>
          <cell r="X194" t="str">
            <v/>
          </cell>
          <cell r="Y194">
            <v>1.9252628746349032E-3</v>
          </cell>
          <cell r="Z194" t="str">
            <v/>
          </cell>
          <cell r="AA194">
            <v>1.0597986849731678E-2</v>
          </cell>
          <cell r="AB194" t="str">
            <v/>
          </cell>
          <cell r="AC194">
            <v>2.7331894000117041E-2</v>
          </cell>
          <cell r="AD194">
            <v>4.0837248913671242E-2</v>
          </cell>
          <cell r="AE194">
            <v>7.0532702315207585E-2</v>
          </cell>
        </row>
        <row r="195">
          <cell r="D195" t="str">
            <v>USD</v>
          </cell>
          <cell r="N195" t="str">
            <v/>
          </cell>
          <cell r="O195" t="str">
            <v/>
          </cell>
          <cell r="P195">
            <v>8.3709155775113508E-4</v>
          </cell>
          <cell r="Q195" t="str">
            <v/>
          </cell>
          <cell r="R195">
            <v>8.7915772767681588E-3</v>
          </cell>
          <cell r="S195" t="str">
            <v/>
          </cell>
          <cell r="T195">
            <v>1.8541158140313097E-2</v>
          </cell>
          <cell r="U195">
            <v>3.4673938054318287E-2</v>
          </cell>
          <cell r="V195">
            <v>6.3434375175391078E-2</v>
          </cell>
          <cell r="W195" t="str">
            <v/>
          </cell>
          <cell r="X195" t="str">
            <v/>
          </cell>
          <cell r="Y195">
            <v>1.0386920390824672E-3</v>
          </cell>
          <cell r="Z195" t="str">
            <v/>
          </cell>
          <cell r="AA195">
            <v>9.3250706913460268E-3</v>
          </cell>
          <cell r="AB195" t="str">
            <v/>
          </cell>
          <cell r="AC195">
            <v>1.9435507171679745E-2</v>
          </cell>
          <cell r="AD195">
            <v>3.6359250553433475E-2</v>
          </cell>
          <cell r="AE195">
            <v>6.6506003006661318E-2</v>
          </cell>
        </row>
        <row r="196">
          <cell r="D196" t="str">
            <v>USD</v>
          </cell>
          <cell r="N196" t="str">
            <v>IRS Curve missing</v>
          </cell>
          <cell r="O196" t="str">
            <v>IRS Curve missing</v>
          </cell>
          <cell r="P196" t="str">
            <v>IRS Curve missing</v>
          </cell>
          <cell r="Q196" t="str">
            <v>IRS Curve missing</v>
          </cell>
          <cell r="R196" t="str">
            <v>IRS Curve missing</v>
          </cell>
          <cell r="S196" t="str">
            <v>IRS Curve missing</v>
          </cell>
          <cell r="T196" t="str">
            <v>IRS Curve missing</v>
          </cell>
          <cell r="U196" t="str">
            <v>IRS Curve missing</v>
          </cell>
          <cell r="V196" t="str">
            <v>IRS Curve missing</v>
          </cell>
          <cell r="W196" t="str">
            <v>IRS Curve missing</v>
          </cell>
          <cell r="X196" t="str">
            <v>IRS Curve missing</v>
          </cell>
          <cell r="Y196" t="str">
            <v>IRS Curve missing</v>
          </cell>
          <cell r="Z196" t="str">
            <v>IRS Curve missing</v>
          </cell>
          <cell r="AA196" t="str">
            <v>IRS Curve missing</v>
          </cell>
          <cell r="AB196" t="str">
            <v>IRS Curve missing</v>
          </cell>
          <cell r="AC196" t="str">
            <v>IRS Curve missing</v>
          </cell>
          <cell r="AD196" t="str">
            <v>IRS Curve missing</v>
          </cell>
          <cell r="AE196" t="str">
            <v>IRS Curve missing</v>
          </cell>
        </row>
        <row r="197">
          <cell r="D197" t="str">
            <v>USD</v>
          </cell>
          <cell r="N197" t="str">
            <v/>
          </cell>
          <cell r="O197" t="str">
            <v/>
          </cell>
          <cell r="P197">
            <v>9.882990132455971E-4</v>
          </cell>
          <cell r="Q197" t="str">
            <v/>
          </cell>
          <cell r="R197">
            <v>8.4898391056841271E-3</v>
          </cell>
          <cell r="S197" t="str">
            <v/>
          </cell>
          <cell r="T197">
            <v>1.902496981127777E-2</v>
          </cell>
          <cell r="U197">
            <v>3.5290156629826708E-2</v>
          </cell>
          <cell r="V197">
            <v>6.6326234086783065E-2</v>
          </cell>
          <cell r="W197" t="str">
            <v/>
          </cell>
          <cell r="X197" t="str">
            <v/>
          </cell>
          <cell r="Y197">
            <v>1.1898677717000483E-3</v>
          </cell>
          <cell r="Z197" t="str">
            <v/>
          </cell>
          <cell r="AA197">
            <v>9.0233844138579711E-3</v>
          </cell>
          <cell r="AB197" t="str">
            <v/>
          </cell>
          <cell r="AC197">
            <v>1.9941887484487886E-2</v>
          </cell>
          <cell r="AD197">
            <v>3.7005178709440978E-2</v>
          </cell>
          <cell r="AE197">
            <v>6.9534928220692516E-2</v>
          </cell>
        </row>
        <row r="198">
          <cell r="D198" t="str">
            <v>USD</v>
          </cell>
          <cell r="N198" t="str">
            <v/>
          </cell>
          <cell r="O198" t="str">
            <v/>
          </cell>
          <cell r="P198">
            <v>1.6432692302187357E-3</v>
          </cell>
          <cell r="Q198" t="str">
            <v/>
          </cell>
          <cell r="R198">
            <v>8.5784897869075616E-3</v>
          </cell>
          <cell r="S198" t="str">
            <v/>
          </cell>
          <cell r="T198">
            <v>1.7570658602433786E-2</v>
          </cell>
          <cell r="U198">
            <v>3.2480566703167457E-2</v>
          </cell>
          <cell r="V198">
            <v>5.931319175586125E-2</v>
          </cell>
          <cell r="W198" t="str">
            <v/>
          </cell>
          <cell r="X198" t="str">
            <v/>
          </cell>
          <cell r="Y198">
            <v>1.8446980763300314E-3</v>
          </cell>
          <cell r="Z198" t="str">
            <v/>
          </cell>
          <cell r="AA198">
            <v>9.1117346600193549E-3</v>
          </cell>
          <cell r="AB198" t="str">
            <v/>
          </cell>
          <cell r="AC198">
            <v>1.8429864101366822E-2</v>
          </cell>
          <cell r="AD198">
            <v>3.4060539756877284E-2</v>
          </cell>
          <cell r="AE198">
            <v>6.218708910342563E-2</v>
          </cell>
        </row>
        <row r="199">
          <cell r="D199" t="str">
            <v>USD</v>
          </cell>
          <cell r="N199" t="str">
            <v>IRS Curve missing</v>
          </cell>
          <cell r="O199" t="str">
            <v>IRS Curve missing</v>
          </cell>
          <cell r="P199" t="str">
            <v>IRS Curve missing</v>
          </cell>
          <cell r="Q199" t="str">
            <v>IRS Curve missing</v>
          </cell>
          <cell r="R199" t="str">
            <v>IRS Curve missing</v>
          </cell>
          <cell r="S199" t="str">
            <v>IRS Curve missing</v>
          </cell>
          <cell r="T199" t="str">
            <v>IRS Curve missing</v>
          </cell>
          <cell r="U199" t="str">
            <v>IRS Curve missing</v>
          </cell>
          <cell r="V199" t="str">
            <v>IRS Curve missing</v>
          </cell>
          <cell r="W199" t="str">
            <v>IRS Curve missing</v>
          </cell>
          <cell r="X199" t="str">
            <v>IRS Curve missing</v>
          </cell>
          <cell r="Y199" t="str">
            <v>IRS Curve missing</v>
          </cell>
          <cell r="Z199" t="str">
            <v>IRS Curve missing</v>
          </cell>
          <cell r="AA199" t="str">
            <v>IRS Curve missing</v>
          </cell>
          <cell r="AB199" t="str">
            <v>IRS Curve missing</v>
          </cell>
          <cell r="AC199" t="str">
            <v>IRS Curve missing</v>
          </cell>
          <cell r="AD199" t="str">
            <v>IRS Curve missing</v>
          </cell>
          <cell r="AE199" t="str">
            <v>IRS Curve missing</v>
          </cell>
        </row>
        <row r="200">
          <cell r="D200" t="str">
            <v>USD</v>
          </cell>
          <cell r="N200" t="str">
            <v/>
          </cell>
          <cell r="O200" t="str">
            <v/>
          </cell>
          <cell r="P200">
            <v>5.3413877648088581E-3</v>
          </cell>
          <cell r="Q200" t="str">
            <v/>
          </cell>
          <cell r="R200">
            <v>3.7456560948923801E-2</v>
          </cell>
          <cell r="S200" t="str">
            <v/>
          </cell>
          <cell r="T200">
            <v>9.3301245252862985E-2</v>
          </cell>
          <cell r="U200">
            <v>0.14607908466267239</v>
          </cell>
          <cell r="V200">
            <v>0.24929657870328081</v>
          </cell>
          <cell r="W200" t="str">
            <v/>
          </cell>
          <cell r="X200" t="str">
            <v/>
          </cell>
          <cell r="Y200">
            <v>5.6075623838572897E-3</v>
          </cell>
          <cell r="Z200" t="str">
            <v/>
          </cell>
          <cell r="AA200">
            <v>3.9305362373480812E-2</v>
          </cell>
          <cell r="AB200" t="str">
            <v/>
          </cell>
          <cell r="AC200">
            <v>9.7810116458190266E-2</v>
          </cell>
          <cell r="AD200">
            <v>0.15295146107795099</v>
          </cell>
          <cell r="AE200">
            <v>0.26050182598231264</v>
          </cell>
        </row>
        <row r="201">
          <cell r="D201" t="str">
            <v>USD</v>
          </cell>
          <cell r="N201" t="str">
            <v/>
          </cell>
          <cell r="O201" t="str">
            <v/>
          </cell>
          <cell r="P201">
            <v>3.4025252788481009E-3</v>
          </cell>
          <cell r="Q201" t="str">
            <v/>
          </cell>
          <cell r="R201">
            <v>1.7062664485745116E-2</v>
          </cell>
          <cell r="S201" t="str">
            <v/>
          </cell>
          <cell r="T201">
            <v>3.6285451300672733E-2</v>
          </cell>
          <cell r="U201">
            <v>5.4629172843093654E-2</v>
          </cell>
          <cell r="V201">
            <v>8.1540639566513362E-2</v>
          </cell>
          <cell r="W201" t="str">
            <v/>
          </cell>
          <cell r="X201" t="str">
            <v/>
          </cell>
          <cell r="Y201">
            <v>3.6035572916115477E-3</v>
          </cell>
          <cell r="Z201" t="str">
            <v/>
          </cell>
          <cell r="AA201">
            <v>1.7906374854483542E-2</v>
          </cell>
          <cell r="AB201" t="str">
            <v/>
          </cell>
          <cell r="AC201">
            <v>3.807089206851777E-2</v>
          </cell>
          <cell r="AD201">
            <v>5.7292313040517739E-2</v>
          </cell>
          <cell r="AE201">
            <v>8.5463535543588653E-2</v>
          </cell>
        </row>
        <row r="202">
          <cell r="D202" t="str">
            <v>USD</v>
          </cell>
          <cell r="N202" t="str">
            <v/>
          </cell>
          <cell r="O202" t="str">
            <v/>
          </cell>
          <cell r="P202">
            <v>2.9257766950425701E-3</v>
          </cell>
          <cell r="Q202" t="str">
            <v/>
          </cell>
          <cell r="R202">
            <v>1.0292908951280877E-2</v>
          </cell>
          <cell r="S202" t="str">
            <v/>
          </cell>
          <cell r="T202">
            <v>3.457897997813919E-2</v>
          </cell>
          <cell r="U202">
            <v>6.6302213890194861E-2</v>
          </cell>
          <cell r="V202">
            <v>0.11514261260781788</v>
          </cell>
          <cell r="W202" t="str">
            <v/>
          </cell>
          <cell r="X202" t="str">
            <v/>
          </cell>
          <cell r="Y202">
            <v>3.1269193731213729E-3</v>
          </cell>
          <cell r="Z202" t="str">
            <v/>
          </cell>
          <cell r="AA202">
            <v>1.0824976586735091E-2</v>
          </cell>
          <cell r="AB202" t="str">
            <v/>
          </cell>
          <cell r="AC202">
            <v>3.6281517397945828E-2</v>
          </cell>
          <cell r="AD202">
            <v>6.9535487332799462E-2</v>
          </cell>
          <cell r="AE202">
            <v>0.12064950778168082</v>
          </cell>
        </row>
        <row r="203">
          <cell r="D203" t="str">
            <v>USD</v>
          </cell>
          <cell r="N203" t="str">
            <v/>
          </cell>
          <cell r="O203" t="str">
            <v/>
          </cell>
          <cell r="P203">
            <v>9.1172505497045142E-2</v>
          </cell>
          <cell r="Q203" t="str">
            <v/>
          </cell>
          <cell r="R203">
            <v>0.19383716201387924</v>
          </cell>
          <cell r="S203" t="str">
            <v/>
          </cell>
          <cell r="T203">
            <v>0.24748158197229297</v>
          </cell>
          <cell r="U203">
            <v>0.2943500753840318</v>
          </cell>
          <cell r="V203">
            <v>0.34571857870185985</v>
          </cell>
          <cell r="W203" t="str">
            <v/>
          </cell>
          <cell r="X203" t="str">
            <v/>
          </cell>
          <cell r="Y203">
            <v>9.5506201215288078E-2</v>
          </cell>
          <cell r="Z203" t="str">
            <v/>
          </cell>
          <cell r="AA203">
            <v>0.20236967198648859</v>
          </cell>
          <cell r="AB203" t="str">
            <v/>
          </cell>
          <cell r="AC203">
            <v>0.25775544655461047</v>
          </cell>
          <cell r="AD203">
            <v>0.30601129566811425</v>
          </cell>
          <cell r="AE203">
            <v>0.35855179497385559</v>
          </cell>
        </row>
        <row r="204">
          <cell r="D204" t="str">
            <v>USD</v>
          </cell>
          <cell r="N204" t="str">
            <v/>
          </cell>
          <cell r="O204" t="str">
            <v/>
          </cell>
          <cell r="P204">
            <v>5.6705226632512984E-3</v>
          </cell>
          <cell r="Q204" t="str">
            <v/>
          </cell>
          <cell r="R204">
            <v>2.9222237258932582E-2</v>
          </cell>
          <cell r="S204" t="str">
            <v/>
          </cell>
          <cell r="T204">
            <v>7.8412264301117807E-2</v>
          </cell>
          <cell r="U204">
            <v>0.12766410739467204</v>
          </cell>
          <cell r="V204">
            <v>0.21580775235099692</v>
          </cell>
          <cell r="W204" t="str">
            <v/>
          </cell>
          <cell r="X204" t="str">
            <v/>
          </cell>
          <cell r="Y204">
            <v>5.9530391770094004E-3</v>
          </cell>
          <cell r="Z204" t="str">
            <v/>
          </cell>
          <cell r="AA204">
            <v>3.0667035203781445E-2</v>
          </cell>
          <cell r="AB204" t="str">
            <v/>
          </cell>
          <cell r="AC204">
            <v>8.2225387576896902E-2</v>
          </cell>
          <cell r="AD204">
            <v>0.13373007962590289</v>
          </cell>
          <cell r="AE204">
            <v>0.22566560406723257</v>
          </cell>
        </row>
        <row r="205">
          <cell r="D205" t="str">
            <v>USD</v>
          </cell>
          <cell r="N205" t="str">
            <v>IRS Curve missing</v>
          </cell>
          <cell r="O205" t="str">
            <v>IRS Curve missing</v>
          </cell>
          <cell r="P205" t="str">
            <v>IRS Curve missing</v>
          </cell>
          <cell r="Q205" t="str">
            <v>IRS Curve missing</v>
          </cell>
          <cell r="R205" t="str">
            <v>IRS Curve missing</v>
          </cell>
          <cell r="S205" t="str">
            <v>IRS Curve missing</v>
          </cell>
          <cell r="T205" t="str">
            <v>IRS Curve missing</v>
          </cell>
          <cell r="U205" t="str">
            <v>IRS Curve missing</v>
          </cell>
          <cell r="V205" t="str">
            <v>IRS Curve missing</v>
          </cell>
          <cell r="W205" t="str">
            <v>IRS Curve missing</v>
          </cell>
          <cell r="X205" t="str">
            <v>IRS Curve missing</v>
          </cell>
          <cell r="Y205" t="str">
            <v>IRS Curve missing</v>
          </cell>
          <cell r="Z205" t="str">
            <v>IRS Curve missing</v>
          </cell>
          <cell r="AA205" t="str">
            <v>IRS Curve missing</v>
          </cell>
          <cell r="AB205" t="str">
            <v>IRS Curve missing</v>
          </cell>
          <cell r="AC205" t="str">
            <v>IRS Curve missing</v>
          </cell>
          <cell r="AD205" t="str">
            <v>IRS Curve missing</v>
          </cell>
          <cell r="AE205" t="str">
            <v>IRS Curve missing</v>
          </cell>
        </row>
        <row r="206">
          <cell r="D206" t="str">
            <v>USD</v>
          </cell>
          <cell r="N206" t="str">
            <v/>
          </cell>
          <cell r="O206" t="str">
            <v/>
          </cell>
          <cell r="P206">
            <v>9.4999527037498144E-4</v>
          </cell>
          <cell r="Q206" t="str">
            <v/>
          </cell>
          <cell r="R206">
            <v>1.0392854739641577E-2</v>
          </cell>
          <cell r="S206" t="str">
            <v/>
          </cell>
          <cell r="T206">
            <v>2.2878371616929738E-2</v>
          </cell>
          <cell r="U206">
            <v>4.317006674533308E-2</v>
          </cell>
          <cell r="V206">
            <v>7.8780778784644845E-2</v>
          </cell>
          <cell r="W206" t="str">
            <v/>
          </cell>
          <cell r="X206" t="str">
            <v/>
          </cell>
          <cell r="Y206">
            <v>1.1515720850577837E-3</v>
          </cell>
          <cell r="Z206" t="str">
            <v/>
          </cell>
          <cell r="AA206">
            <v>1.0925688496963182E-2</v>
          </cell>
          <cell r="AB206" t="str">
            <v/>
          </cell>
          <cell r="AC206">
            <v>2.399752299300939E-2</v>
          </cell>
          <cell r="AD206">
            <v>4.5275805785746193E-2</v>
          </cell>
          <cell r="AE206">
            <v>8.2595670754915251E-2</v>
          </cell>
        </row>
        <row r="207">
          <cell r="D207" t="str">
            <v>USD</v>
          </cell>
          <cell r="N207" t="str">
            <v/>
          </cell>
          <cell r="O207" t="str">
            <v/>
          </cell>
          <cell r="P207">
            <v>2.2615732825216339E-3</v>
          </cell>
          <cell r="Q207" t="str">
            <v/>
          </cell>
          <cell r="R207">
            <v>1.0530142611629989E-2</v>
          </cell>
          <cell r="S207" t="str">
            <v/>
          </cell>
          <cell r="T207">
            <v>2.6862944067914118E-2</v>
          </cell>
          <cell r="U207">
            <v>4.9701295742896723E-2</v>
          </cell>
          <cell r="V207">
            <v>9.1469710293454187E-2</v>
          </cell>
          <cell r="W207" t="str">
            <v/>
          </cell>
          <cell r="X207" t="str">
            <v/>
          </cell>
          <cell r="Y207">
            <v>2.4628662257890621E-3</v>
          </cell>
          <cell r="Z207" t="str">
            <v/>
          </cell>
          <cell r="AA207">
            <v>1.1062388263382905E-2</v>
          </cell>
          <cell r="AB207" t="str">
            <v/>
          </cell>
          <cell r="AC207">
            <v>2.8184281721619242E-2</v>
          </cell>
          <cell r="AD207">
            <v>5.2130285706210699E-2</v>
          </cell>
          <cell r="AE207">
            <v>9.5887018856449013E-2</v>
          </cell>
        </row>
        <row r="208">
          <cell r="D208" t="str">
            <v>USD</v>
          </cell>
          <cell r="N208" t="str">
            <v/>
          </cell>
          <cell r="O208" t="str">
            <v/>
          </cell>
          <cell r="P208">
            <v>7.6056571069598178E-2</v>
          </cell>
          <cell r="Q208" t="str">
            <v/>
          </cell>
          <cell r="R208">
            <v>0.19076107061121883</v>
          </cell>
          <cell r="S208" t="str">
            <v/>
          </cell>
          <cell r="T208">
            <v>0.25250111425107558</v>
          </cell>
          <cell r="U208">
            <v>0.3085819866902676</v>
          </cell>
          <cell r="V208">
            <v>0.38042632700039791</v>
          </cell>
          <cell r="W208" t="str">
            <v/>
          </cell>
          <cell r="X208" t="str">
            <v/>
          </cell>
          <cell r="Y208">
            <v>7.9703657144072682E-2</v>
          </cell>
          <cell r="Z208" t="str">
            <v/>
          </cell>
          <cell r="AA208">
            <v>0.19928277595717925</v>
          </cell>
          <cell r="AB208" t="str">
            <v/>
          </cell>
          <cell r="AC208">
            <v>0.26306041900078603</v>
          </cell>
          <cell r="AD208">
            <v>0.32084536562459287</v>
          </cell>
          <cell r="AE208">
            <v>0.39441516622875072</v>
          </cell>
        </row>
        <row r="209">
          <cell r="D209" t="str">
            <v>USD</v>
          </cell>
          <cell r="N209" t="str">
            <v/>
          </cell>
          <cell r="O209" t="str">
            <v/>
          </cell>
          <cell r="P209">
            <v>8.589881721862036E-3</v>
          </cell>
          <cell r="Q209" t="str">
            <v/>
          </cell>
          <cell r="R209">
            <v>4.0818568979215653E-2</v>
          </cell>
          <cell r="S209" t="str">
            <v/>
          </cell>
          <cell r="T209">
            <v>0.10425680008425842</v>
          </cell>
          <cell r="U209">
            <v>0.16641105831245928</v>
          </cell>
          <cell r="V209">
            <v>0.27704682213303611</v>
          </cell>
          <cell r="W209" t="str">
            <v/>
          </cell>
          <cell r="X209" t="str">
            <v/>
          </cell>
          <cell r="Y209">
            <v>9.0170362552461913E-3</v>
          </cell>
          <cell r="Z209" t="str">
            <v/>
          </cell>
          <cell r="AA209">
            <v>4.2826525882811661E-2</v>
          </cell>
          <cell r="AB209" t="str">
            <v/>
          </cell>
          <cell r="AC209">
            <v>0.10927186219301632</v>
          </cell>
          <cell r="AD209">
            <v>0.17417354214756442</v>
          </cell>
          <cell r="AE209">
            <v>0.28931044553297403</v>
          </cell>
        </row>
        <row r="210">
          <cell r="D210" t="str">
            <v>USD</v>
          </cell>
          <cell r="N210" t="str">
            <v>IRS Curve missing</v>
          </cell>
          <cell r="O210" t="str">
            <v>IRS Curve missing</v>
          </cell>
          <cell r="P210" t="str">
            <v>IRS Curve missing</v>
          </cell>
          <cell r="Q210" t="str">
            <v>IRS Curve missing</v>
          </cell>
          <cell r="R210" t="str">
            <v>IRS Curve missing</v>
          </cell>
          <cell r="S210" t="str">
            <v>IRS Curve missing</v>
          </cell>
          <cell r="T210" t="str">
            <v>IRS Curve missing</v>
          </cell>
          <cell r="U210" t="str">
            <v>IRS Curve missing</v>
          </cell>
          <cell r="V210" t="str">
            <v>IRS Curve missing</v>
          </cell>
          <cell r="W210" t="str">
            <v>IRS Curve missing</v>
          </cell>
          <cell r="X210" t="str">
            <v>IRS Curve missing</v>
          </cell>
          <cell r="Y210" t="str">
            <v>IRS Curve missing</v>
          </cell>
          <cell r="Z210" t="str">
            <v>IRS Curve missing</v>
          </cell>
          <cell r="AA210" t="str">
            <v>IRS Curve missing</v>
          </cell>
          <cell r="AB210" t="str">
            <v>IRS Curve missing</v>
          </cell>
          <cell r="AC210" t="str">
            <v>IRS Curve missing</v>
          </cell>
          <cell r="AD210" t="str">
            <v>IRS Curve missing</v>
          </cell>
          <cell r="AE210" t="str">
            <v>IRS Curve missing</v>
          </cell>
        </row>
        <row r="211">
          <cell r="D211" t="str">
            <v>USD</v>
          </cell>
          <cell r="N211" t="str">
            <v>IRS Curve missing</v>
          </cell>
          <cell r="O211" t="str">
            <v>IRS Curve missing</v>
          </cell>
          <cell r="P211" t="str">
            <v>IRS Curve missing</v>
          </cell>
          <cell r="Q211" t="str">
            <v>IRS Curve missing</v>
          </cell>
          <cell r="R211" t="str">
            <v>IRS Curve missing</v>
          </cell>
          <cell r="S211" t="str">
            <v>IRS Curve missing</v>
          </cell>
          <cell r="T211" t="str">
            <v>IRS Curve missing</v>
          </cell>
          <cell r="U211" t="str">
            <v>IRS Curve missing</v>
          </cell>
          <cell r="V211" t="str">
            <v>IRS Curve missing</v>
          </cell>
          <cell r="W211" t="str">
            <v>IRS Curve missing</v>
          </cell>
          <cell r="X211" t="str">
            <v>IRS Curve missing</v>
          </cell>
          <cell r="Y211" t="str">
            <v>IRS Curve missing</v>
          </cell>
          <cell r="Z211" t="str">
            <v>IRS Curve missing</v>
          </cell>
          <cell r="AA211" t="str">
            <v>IRS Curve missing</v>
          </cell>
          <cell r="AB211" t="str">
            <v>IRS Curve missing</v>
          </cell>
          <cell r="AC211" t="str">
            <v>IRS Curve missing</v>
          </cell>
          <cell r="AD211" t="str">
            <v>IRS Curve missing</v>
          </cell>
          <cell r="AE211" t="str">
            <v>IRS Curve missing</v>
          </cell>
        </row>
        <row r="212">
          <cell r="D212" t="str">
            <v>USD</v>
          </cell>
          <cell r="N212" t="str">
            <v>IRS Curve missing</v>
          </cell>
          <cell r="O212" t="str">
            <v>IRS Curve missing</v>
          </cell>
          <cell r="P212" t="str">
            <v>IRS Curve missing</v>
          </cell>
          <cell r="Q212" t="str">
            <v>IRS Curve missing</v>
          </cell>
          <cell r="R212" t="str">
            <v>IRS Curve missing</v>
          </cell>
          <cell r="S212" t="str">
            <v>IRS Curve missing</v>
          </cell>
          <cell r="T212" t="str">
            <v>IRS Curve missing</v>
          </cell>
          <cell r="U212" t="str">
            <v>IRS Curve missing</v>
          </cell>
          <cell r="V212" t="str">
            <v>IRS Curve missing</v>
          </cell>
          <cell r="W212" t="str">
            <v>IRS Curve missing</v>
          </cell>
          <cell r="X212" t="str">
            <v>IRS Curve missing</v>
          </cell>
          <cell r="Y212" t="str">
            <v>IRS Curve missing</v>
          </cell>
          <cell r="Z212" t="str">
            <v>IRS Curve missing</v>
          </cell>
          <cell r="AA212" t="str">
            <v>IRS Curve missing</v>
          </cell>
          <cell r="AB212" t="str">
            <v>IRS Curve missing</v>
          </cell>
          <cell r="AC212" t="str">
            <v>IRS Curve missing</v>
          </cell>
          <cell r="AD212" t="str">
            <v>IRS Curve missing</v>
          </cell>
          <cell r="AE212" t="str">
            <v>IRS Curve missing</v>
          </cell>
        </row>
        <row r="213">
          <cell r="D213" t="str">
            <v>USD</v>
          </cell>
          <cell r="N213" t="str">
            <v>IRS Curve missing</v>
          </cell>
          <cell r="O213" t="str">
            <v>IRS Curve missing</v>
          </cell>
          <cell r="P213" t="str">
            <v>IRS Curve missing</v>
          </cell>
          <cell r="Q213" t="str">
            <v>IRS Curve missing</v>
          </cell>
          <cell r="R213" t="str">
            <v>IRS Curve missing</v>
          </cell>
          <cell r="S213" t="str">
            <v>IRS Curve missing</v>
          </cell>
          <cell r="T213" t="str">
            <v>IRS Curve missing</v>
          </cell>
          <cell r="U213" t="str">
            <v>IRS Curve missing</v>
          </cell>
          <cell r="V213" t="str">
            <v>IRS Curve missing</v>
          </cell>
          <cell r="W213" t="str">
            <v>IRS Curve missing</v>
          </cell>
          <cell r="X213" t="str">
            <v>IRS Curve missing</v>
          </cell>
          <cell r="Y213" t="str">
            <v>IRS Curve missing</v>
          </cell>
          <cell r="Z213" t="str">
            <v>IRS Curve missing</v>
          </cell>
          <cell r="AA213" t="str">
            <v>IRS Curve missing</v>
          </cell>
          <cell r="AB213" t="str">
            <v>IRS Curve missing</v>
          </cell>
          <cell r="AC213" t="str">
            <v>IRS Curve missing</v>
          </cell>
          <cell r="AD213" t="str">
            <v>IRS Curve missing</v>
          </cell>
          <cell r="AE213" t="str">
            <v>IRS Curve missing</v>
          </cell>
        </row>
        <row r="214">
          <cell r="D214" t="str">
            <v>USD</v>
          </cell>
          <cell r="N214" t="str">
            <v>IRS Curve missing</v>
          </cell>
          <cell r="O214" t="str">
            <v>IRS Curve missing</v>
          </cell>
          <cell r="P214" t="str">
            <v>IRS Curve missing</v>
          </cell>
          <cell r="Q214" t="str">
            <v>IRS Curve missing</v>
          </cell>
          <cell r="R214" t="str">
            <v>IRS Curve missing</v>
          </cell>
          <cell r="S214" t="str">
            <v>IRS Curve missing</v>
          </cell>
          <cell r="T214" t="str">
            <v>IRS Curve missing</v>
          </cell>
          <cell r="U214" t="str">
            <v>IRS Curve missing</v>
          </cell>
          <cell r="V214" t="str">
            <v>IRS Curve missing</v>
          </cell>
          <cell r="W214" t="str">
            <v>IRS Curve missing</v>
          </cell>
          <cell r="X214" t="str">
            <v>IRS Curve missing</v>
          </cell>
          <cell r="Y214" t="str">
            <v>IRS Curve missing</v>
          </cell>
          <cell r="Z214" t="str">
            <v>IRS Curve missing</v>
          </cell>
          <cell r="AA214" t="str">
            <v>IRS Curve missing</v>
          </cell>
          <cell r="AB214" t="str">
            <v>IRS Curve missing</v>
          </cell>
          <cell r="AC214" t="str">
            <v>IRS Curve missing</v>
          </cell>
          <cell r="AD214" t="str">
            <v>IRS Curve missing</v>
          </cell>
          <cell r="AE214" t="str">
            <v>IRS Curve missing</v>
          </cell>
        </row>
        <row r="215">
          <cell r="D215" t="str">
            <v>USD</v>
          </cell>
          <cell r="N215" t="str">
            <v/>
          </cell>
          <cell r="O215" t="str">
            <v/>
          </cell>
          <cell r="P215">
            <v>5.8700613948554747E-2</v>
          </cell>
          <cell r="Q215" t="str">
            <v/>
          </cell>
          <cell r="R215">
            <v>0.13813154035865449</v>
          </cell>
          <cell r="S215" t="str">
            <v/>
          </cell>
          <cell r="T215">
            <v>0.19262100938942417</v>
          </cell>
          <cell r="U215">
            <v>0.21557812441278645</v>
          </cell>
          <cell r="V215">
            <v>0.24569625644492032</v>
          </cell>
          <cell r="W215" t="str">
            <v/>
          </cell>
          <cell r="X215" t="str">
            <v/>
          </cell>
          <cell r="Y215">
            <v>6.1543400514753044E-2</v>
          </cell>
          <cell r="Z215" t="str">
            <v/>
          </cell>
          <cell r="AA215">
            <v>0.14448909115679986</v>
          </cell>
          <cell r="AB215" t="str">
            <v/>
          </cell>
          <cell r="AC215">
            <v>0.2010994097447113</v>
          </cell>
          <cell r="AD215">
            <v>0.22472488155334291</v>
          </cell>
          <cell r="AE215">
            <v>0.25572473858889877</v>
          </cell>
        </row>
        <row r="216">
          <cell r="D216" t="str">
            <v>USD</v>
          </cell>
          <cell r="N216" t="str">
            <v/>
          </cell>
          <cell r="O216" t="str">
            <v/>
          </cell>
          <cell r="P216">
            <v>2.3723042826202523E-3</v>
          </cell>
          <cell r="Q216" t="str">
            <v/>
          </cell>
          <cell r="R216">
            <v>1.0756515190307181E-2</v>
          </cell>
          <cell r="S216" t="str">
            <v/>
          </cell>
          <cell r="T216">
            <v>2.178905633430106E-2</v>
          </cell>
          <cell r="U216">
            <v>4.0131116671097367E-2</v>
          </cell>
          <cell r="V216">
            <v>7.1552828036251404E-2</v>
          </cell>
          <cell r="W216" t="str">
            <v/>
          </cell>
          <cell r="X216" t="str">
            <v/>
          </cell>
          <cell r="Y216">
            <v>2.5735724859701214E-3</v>
          </cell>
          <cell r="Z216" t="str">
            <v/>
          </cell>
          <cell r="AA216">
            <v>1.128862862701574E-2</v>
          </cell>
          <cell r="AB216" t="str">
            <v/>
          </cell>
          <cell r="AC216">
            <v>2.2863868687942435E-2</v>
          </cell>
          <cell r="AD216">
            <v>4.2097390511993571E-2</v>
          </cell>
          <cell r="AE216">
            <v>7.5029306533029638E-2</v>
          </cell>
        </row>
        <row r="217">
          <cell r="D217" t="str">
            <v>USD</v>
          </cell>
          <cell r="N217" t="str">
            <v/>
          </cell>
          <cell r="O217" t="str">
            <v/>
          </cell>
          <cell r="P217">
            <v>1.2261528195539606E-3</v>
          </cell>
          <cell r="Q217" t="str">
            <v/>
          </cell>
          <cell r="R217">
            <v>9.2632687711572403E-3</v>
          </cell>
          <cell r="S217" t="str">
            <v/>
          </cell>
          <cell r="T217">
            <v>2.2542988277071019E-2</v>
          </cell>
          <cell r="U217">
            <v>4.2389916506482606E-2</v>
          </cell>
          <cell r="V217">
            <v>7.5544232759135688E-2</v>
          </cell>
          <cell r="W217" t="str">
            <v/>
          </cell>
          <cell r="X217" t="str">
            <v/>
          </cell>
          <cell r="Y217">
            <v>1.4276712417764514E-3</v>
          </cell>
          <cell r="Z217" t="str">
            <v/>
          </cell>
          <cell r="AA217">
            <v>9.7964206460221526E-3</v>
          </cell>
          <cell r="AB217" t="str">
            <v/>
          </cell>
          <cell r="AC217">
            <v>2.3641403029080021E-2</v>
          </cell>
          <cell r="AD217">
            <v>4.4455565090372851E-2</v>
          </cell>
          <cell r="AE217">
            <v>7.9194920567489557E-2</v>
          </cell>
        </row>
        <row r="218">
          <cell r="D218" t="str">
            <v>USD</v>
          </cell>
          <cell r="N218" t="str">
            <v>IRS Curve missing</v>
          </cell>
          <cell r="O218" t="str">
            <v>IRS Curve missing</v>
          </cell>
          <cell r="P218" t="str">
            <v>IRS Curve missing</v>
          </cell>
          <cell r="Q218" t="str">
            <v>IRS Curve missing</v>
          </cell>
          <cell r="R218" t="str">
            <v>IRS Curve missing</v>
          </cell>
          <cell r="S218" t="str">
            <v>IRS Curve missing</v>
          </cell>
          <cell r="T218" t="str">
            <v>IRS Curve missing</v>
          </cell>
          <cell r="U218" t="str">
            <v>IRS Curve missing</v>
          </cell>
          <cell r="V218" t="str">
            <v>IRS Curve missing</v>
          </cell>
          <cell r="W218" t="str">
            <v>IRS Curve missing</v>
          </cell>
          <cell r="X218" t="str">
            <v>IRS Curve missing</v>
          </cell>
          <cell r="Y218" t="str">
            <v>IRS Curve missing</v>
          </cell>
          <cell r="Z218" t="str">
            <v>IRS Curve missing</v>
          </cell>
          <cell r="AA218" t="str">
            <v>IRS Curve missing</v>
          </cell>
          <cell r="AB218" t="str">
            <v>IRS Curve missing</v>
          </cell>
          <cell r="AC218" t="str">
            <v>IRS Curve missing</v>
          </cell>
          <cell r="AD218" t="str">
            <v>IRS Curve missing</v>
          </cell>
          <cell r="AE218" t="str">
            <v>IRS Curve missing</v>
          </cell>
        </row>
        <row r="219">
          <cell r="D219" t="str">
            <v>USD</v>
          </cell>
          <cell r="N219" t="str">
            <v/>
          </cell>
          <cell r="O219" t="str">
            <v/>
          </cell>
          <cell r="P219">
            <v>2.3602251288440401E-3</v>
          </cell>
          <cell r="Q219" t="str">
            <v/>
          </cell>
          <cell r="R219">
            <v>1.1747511093835761E-2</v>
          </cell>
          <cell r="S219" t="str">
            <v/>
          </cell>
          <cell r="T219">
            <v>2.9865405686491098E-2</v>
          </cell>
          <cell r="U219">
            <v>4.2986442489396648E-2</v>
          </cell>
          <cell r="V219">
            <v>7.0686902919414596E-2</v>
          </cell>
          <cell r="W219" t="str">
            <v/>
          </cell>
          <cell r="X219" t="str">
            <v/>
          </cell>
          <cell r="Y219">
            <v>2.5614960369805262E-3</v>
          </cell>
          <cell r="Z219" t="str">
            <v/>
          </cell>
          <cell r="AA219">
            <v>1.2322881472078384E-2</v>
          </cell>
          <cell r="AB219" t="str">
            <v/>
          </cell>
          <cell r="AC219">
            <v>3.1337074447519653E-2</v>
          </cell>
          <cell r="AD219">
            <v>4.5086451601540456E-2</v>
          </cell>
          <cell r="AE219">
            <v>7.4114914550395095E-2</v>
          </cell>
        </row>
        <row r="220">
          <cell r="D220" t="str">
            <v>USD</v>
          </cell>
          <cell r="N220" t="str">
            <v>IRS Curve missing</v>
          </cell>
          <cell r="O220" t="str">
            <v>IRS Curve missing</v>
          </cell>
          <cell r="P220" t="str">
            <v>IRS Curve missing</v>
          </cell>
          <cell r="Q220" t="str">
            <v>IRS Curve missing</v>
          </cell>
          <cell r="R220" t="str">
            <v>IRS Curve missing</v>
          </cell>
          <cell r="S220" t="str">
            <v>IRS Curve missing</v>
          </cell>
          <cell r="T220" t="str">
            <v>IRS Curve missing</v>
          </cell>
          <cell r="U220" t="str">
            <v>IRS Curve missing</v>
          </cell>
          <cell r="V220" t="str">
            <v>IRS Curve missing</v>
          </cell>
          <cell r="W220" t="str">
            <v>IRS Curve missing</v>
          </cell>
          <cell r="X220" t="str">
            <v>IRS Curve missing</v>
          </cell>
          <cell r="Y220" t="str">
            <v>IRS Curve missing</v>
          </cell>
          <cell r="Z220" t="str">
            <v>IRS Curve missing</v>
          </cell>
          <cell r="AA220" t="str">
            <v>IRS Curve missing</v>
          </cell>
          <cell r="AB220" t="str">
            <v>IRS Curve missing</v>
          </cell>
          <cell r="AC220" t="str">
            <v>IRS Curve missing</v>
          </cell>
          <cell r="AD220" t="str">
            <v>IRS Curve missing</v>
          </cell>
          <cell r="AE220" t="str">
            <v>IRS Curve missing</v>
          </cell>
        </row>
        <row r="221">
          <cell r="D221" t="str">
            <v>USD</v>
          </cell>
          <cell r="N221" t="str">
            <v>IRS Curve missing</v>
          </cell>
          <cell r="O221" t="str">
            <v>IRS Curve missing</v>
          </cell>
          <cell r="P221" t="str">
            <v>IRS Curve missing</v>
          </cell>
          <cell r="Q221" t="str">
            <v>IRS Curve missing</v>
          </cell>
          <cell r="R221" t="str">
            <v>IRS Curve missing</v>
          </cell>
          <cell r="S221" t="str">
            <v>IRS Curve missing</v>
          </cell>
          <cell r="T221" t="str">
            <v>IRS Curve missing</v>
          </cell>
          <cell r="U221" t="str">
            <v>IRS Curve missing</v>
          </cell>
          <cell r="V221" t="str">
            <v>IRS Curve missing</v>
          </cell>
          <cell r="W221" t="str">
            <v>IRS Curve missing</v>
          </cell>
          <cell r="X221" t="str">
            <v>IRS Curve missing</v>
          </cell>
          <cell r="Y221" t="str">
            <v>IRS Curve missing</v>
          </cell>
          <cell r="Z221" t="str">
            <v>IRS Curve missing</v>
          </cell>
          <cell r="AA221" t="str">
            <v>IRS Curve missing</v>
          </cell>
          <cell r="AB221" t="str">
            <v>IRS Curve missing</v>
          </cell>
          <cell r="AC221" t="str">
            <v>IRS Curve missing</v>
          </cell>
          <cell r="AD221" t="str">
            <v>IRS Curve missing</v>
          </cell>
          <cell r="AE221" t="str">
            <v>IRS Curve missing</v>
          </cell>
        </row>
        <row r="222">
          <cell r="D222" t="str">
            <v>USD</v>
          </cell>
          <cell r="N222" t="str">
            <v>IRS Curve missing</v>
          </cell>
          <cell r="O222" t="str">
            <v>IRS Curve missing</v>
          </cell>
          <cell r="P222" t="str">
            <v>IRS Curve missing</v>
          </cell>
          <cell r="Q222" t="str">
            <v>IRS Curve missing</v>
          </cell>
          <cell r="R222" t="str">
            <v>IRS Curve missing</v>
          </cell>
          <cell r="S222" t="str">
            <v>IRS Curve missing</v>
          </cell>
          <cell r="T222" t="str">
            <v>IRS Curve missing</v>
          </cell>
          <cell r="U222" t="str">
            <v>IRS Curve missing</v>
          </cell>
          <cell r="V222" t="str">
            <v>IRS Curve missing</v>
          </cell>
          <cell r="W222" t="str">
            <v>IRS Curve missing</v>
          </cell>
          <cell r="X222" t="str">
            <v>IRS Curve missing</v>
          </cell>
          <cell r="Y222" t="str">
            <v>IRS Curve missing</v>
          </cell>
          <cell r="Z222" t="str">
            <v>IRS Curve missing</v>
          </cell>
          <cell r="AA222" t="str">
            <v>IRS Curve missing</v>
          </cell>
          <cell r="AB222" t="str">
            <v>IRS Curve missing</v>
          </cell>
          <cell r="AC222" t="str">
            <v>IRS Curve missing</v>
          </cell>
          <cell r="AD222" t="str">
            <v>IRS Curve missing</v>
          </cell>
          <cell r="AE222" t="str">
            <v>IRS Curve missing</v>
          </cell>
        </row>
        <row r="223">
          <cell r="D223" t="str">
            <v>USD</v>
          </cell>
          <cell r="N223" t="str">
            <v/>
          </cell>
          <cell r="O223" t="str">
            <v/>
          </cell>
          <cell r="P223">
            <v>7.5442188936469812E-4</v>
          </cell>
          <cell r="Q223" t="str">
            <v/>
          </cell>
          <cell r="R223">
            <v>9.3412705242884586E-3</v>
          </cell>
          <cell r="S223" t="str">
            <v/>
          </cell>
          <cell r="T223">
            <v>2.3957863946446389E-2</v>
          </cell>
          <cell r="U223">
            <v>4.8454206430957547E-2</v>
          </cell>
          <cell r="V223">
            <v>9.1564654499143971E-2</v>
          </cell>
          <cell r="W223" t="str">
            <v/>
          </cell>
          <cell r="X223" t="str">
            <v/>
          </cell>
          <cell r="Y223">
            <v>9.5603962438817192E-4</v>
          </cell>
          <cell r="Z223" t="str">
            <v/>
          </cell>
          <cell r="AA223">
            <v>9.8745870732641627E-3</v>
          </cell>
          <cell r="AB223" t="str">
            <v/>
          </cell>
          <cell r="AC223">
            <v>2.5122891949288961E-2</v>
          </cell>
          <cell r="AD223">
            <v>5.0813018597291371E-2</v>
          </cell>
          <cell r="AE223">
            <v>9.5976234296347163E-2</v>
          </cell>
        </row>
        <row r="224">
          <cell r="D224" t="str">
            <v>USD</v>
          </cell>
          <cell r="N224" t="str">
            <v>IRS Curve missing</v>
          </cell>
          <cell r="O224" t="str">
            <v>IRS Curve missing</v>
          </cell>
          <cell r="P224" t="str">
            <v>IRS Curve missing</v>
          </cell>
          <cell r="Q224" t="str">
            <v>IRS Curve missing</v>
          </cell>
          <cell r="R224" t="str">
            <v>IRS Curve missing</v>
          </cell>
          <cell r="S224" t="str">
            <v>IRS Curve missing</v>
          </cell>
          <cell r="T224" t="str">
            <v>IRS Curve missing</v>
          </cell>
          <cell r="U224" t="str">
            <v>IRS Curve missing</v>
          </cell>
          <cell r="V224" t="str">
            <v>IRS Curve missing</v>
          </cell>
          <cell r="W224" t="str">
            <v>IRS Curve missing</v>
          </cell>
          <cell r="X224" t="str">
            <v>IRS Curve missing</v>
          </cell>
          <cell r="Y224" t="str">
            <v>IRS Curve missing</v>
          </cell>
          <cell r="Z224" t="str">
            <v>IRS Curve missing</v>
          </cell>
          <cell r="AA224" t="str">
            <v>IRS Curve missing</v>
          </cell>
          <cell r="AB224" t="str">
            <v>IRS Curve missing</v>
          </cell>
          <cell r="AC224" t="str">
            <v>IRS Curve missing</v>
          </cell>
          <cell r="AD224" t="str">
            <v>IRS Curve missing</v>
          </cell>
          <cell r="AE224" t="str">
            <v>IRS Curve missing</v>
          </cell>
        </row>
        <row r="225">
          <cell r="D225" t="str">
            <v>USD</v>
          </cell>
          <cell r="N225" t="str">
            <v>IRS Curve missing</v>
          </cell>
          <cell r="O225" t="str">
            <v>IRS Curve missing</v>
          </cell>
          <cell r="P225" t="str">
            <v>IRS Curve missing</v>
          </cell>
          <cell r="Q225" t="str">
            <v>IRS Curve missing</v>
          </cell>
          <cell r="R225" t="str">
            <v>IRS Curve missing</v>
          </cell>
          <cell r="S225" t="str">
            <v>IRS Curve missing</v>
          </cell>
          <cell r="T225" t="str">
            <v>IRS Curve missing</v>
          </cell>
          <cell r="U225" t="str">
            <v>IRS Curve missing</v>
          </cell>
          <cell r="V225" t="str">
            <v>IRS Curve missing</v>
          </cell>
          <cell r="W225" t="str">
            <v>IRS Curve missing</v>
          </cell>
          <cell r="X225" t="str">
            <v>IRS Curve missing</v>
          </cell>
          <cell r="Y225" t="str">
            <v>IRS Curve missing</v>
          </cell>
          <cell r="Z225" t="str">
            <v>IRS Curve missing</v>
          </cell>
          <cell r="AA225" t="str">
            <v>IRS Curve missing</v>
          </cell>
          <cell r="AB225" t="str">
            <v>IRS Curve missing</v>
          </cell>
          <cell r="AC225" t="str">
            <v>IRS Curve missing</v>
          </cell>
          <cell r="AD225" t="str">
            <v>IRS Curve missing</v>
          </cell>
          <cell r="AE225" t="str">
            <v>IRS Curve missing</v>
          </cell>
        </row>
        <row r="226">
          <cell r="D226" t="str">
            <v>USD</v>
          </cell>
          <cell r="N226" t="str">
            <v/>
          </cell>
          <cell r="O226" t="str">
            <v/>
          </cell>
          <cell r="P226">
            <v>9.0765786053303987E-4</v>
          </cell>
          <cell r="Q226" t="str">
            <v/>
          </cell>
          <cell r="R226">
            <v>6.3576765683606151E-3</v>
          </cell>
          <cell r="S226" t="str">
            <v/>
          </cell>
          <cell r="T226">
            <v>1.8410525844752335E-2</v>
          </cell>
          <cell r="U226">
            <v>3.360057709684916E-2</v>
          </cell>
          <cell r="V226">
            <v>6.5244559000430025E-2</v>
          </cell>
          <cell r="W226" t="str">
            <v/>
          </cell>
          <cell r="X226" t="str">
            <v/>
          </cell>
          <cell r="Y226">
            <v>1.1092435638834219E-3</v>
          </cell>
          <cell r="Z226" t="str">
            <v/>
          </cell>
          <cell r="AA226">
            <v>6.892072718253206E-3</v>
          </cell>
          <cell r="AB226" t="str">
            <v/>
          </cell>
          <cell r="AC226">
            <v>1.9283256499426527E-2</v>
          </cell>
          <cell r="AD226">
            <v>3.5226036893962864E-2</v>
          </cell>
          <cell r="AE226">
            <v>6.8362146081688557E-2</v>
          </cell>
        </row>
        <row r="227">
          <cell r="D227" t="str">
            <v>USD</v>
          </cell>
          <cell r="N227" t="str">
            <v>IRS Curve missing</v>
          </cell>
          <cell r="O227" t="str">
            <v>IRS Curve missing</v>
          </cell>
          <cell r="P227" t="str">
            <v>IRS Curve missing</v>
          </cell>
          <cell r="Q227" t="str">
            <v>IRS Curve missing</v>
          </cell>
          <cell r="R227" t="str">
            <v>IRS Curve missing</v>
          </cell>
          <cell r="S227" t="str">
            <v>IRS Curve missing</v>
          </cell>
          <cell r="T227" t="str">
            <v>IRS Curve missing</v>
          </cell>
          <cell r="U227" t="str">
            <v>IRS Curve missing</v>
          </cell>
          <cell r="V227" t="str">
            <v>IRS Curve missing</v>
          </cell>
          <cell r="W227" t="str">
            <v>IRS Curve missing</v>
          </cell>
          <cell r="X227" t="str">
            <v>IRS Curve missing</v>
          </cell>
          <cell r="Y227" t="str">
            <v>IRS Curve missing</v>
          </cell>
          <cell r="Z227" t="str">
            <v>IRS Curve missing</v>
          </cell>
          <cell r="AA227" t="str">
            <v>IRS Curve missing</v>
          </cell>
          <cell r="AB227" t="str">
            <v>IRS Curve missing</v>
          </cell>
          <cell r="AC227" t="str">
            <v>IRS Curve missing</v>
          </cell>
          <cell r="AD227" t="str">
            <v>IRS Curve missing</v>
          </cell>
          <cell r="AE227" t="str">
            <v>IRS Curve missing</v>
          </cell>
        </row>
        <row r="228">
          <cell r="D228" t="str">
            <v>USD</v>
          </cell>
          <cell r="N228" t="str">
            <v/>
          </cell>
          <cell r="O228" t="str">
            <v/>
          </cell>
          <cell r="P228">
            <v>3.1108704707385471E-3</v>
          </cell>
          <cell r="Q228" t="str">
            <v/>
          </cell>
          <cell r="R228">
            <v>1.20113964082319E-2</v>
          </cell>
          <cell r="S228" t="str">
            <v/>
          </cell>
          <cell r="T228">
            <v>2.6584203090438407E-2</v>
          </cell>
          <cell r="U228">
            <v>4.9437515551906341E-2</v>
          </cell>
          <cell r="V228">
            <v>9.3354659189089029E-2</v>
          </cell>
          <cell r="W228" t="str">
            <v/>
          </cell>
          <cell r="X228" t="str">
            <v/>
          </cell>
          <cell r="Y228">
            <v>3.3119704664700267E-3</v>
          </cell>
          <cell r="Z228" t="str">
            <v/>
          </cell>
          <cell r="AA228">
            <v>1.260354591250612E-2</v>
          </cell>
          <cell r="AB228" t="str">
            <v/>
          </cell>
          <cell r="AC228">
            <v>2.7896237697635606E-2</v>
          </cell>
          <cell r="AD228">
            <v>5.1859728112806147E-2</v>
          </cell>
          <cell r="AE228">
            <v>9.7863510586892799E-2</v>
          </cell>
        </row>
        <row r="229">
          <cell r="D229" t="str">
            <v>USD</v>
          </cell>
          <cell r="N229" t="str">
            <v>IRS Curve missing</v>
          </cell>
          <cell r="O229" t="str">
            <v>IRS Curve missing</v>
          </cell>
          <cell r="P229" t="str">
            <v>IRS Curve missing</v>
          </cell>
          <cell r="Q229" t="str">
            <v>IRS Curve missing</v>
          </cell>
          <cell r="R229" t="str">
            <v>IRS Curve missing</v>
          </cell>
          <cell r="S229" t="str">
            <v>IRS Curve missing</v>
          </cell>
          <cell r="T229" t="str">
            <v>IRS Curve missing</v>
          </cell>
          <cell r="U229" t="str">
            <v>IRS Curve missing</v>
          </cell>
          <cell r="V229" t="str">
            <v>IRS Curve missing</v>
          </cell>
          <cell r="W229" t="str">
            <v>IRS Curve missing</v>
          </cell>
          <cell r="X229" t="str">
            <v>IRS Curve missing</v>
          </cell>
          <cell r="Y229" t="str">
            <v>IRS Curve missing</v>
          </cell>
          <cell r="Z229" t="str">
            <v>IRS Curve missing</v>
          </cell>
          <cell r="AA229" t="str">
            <v>IRS Curve missing</v>
          </cell>
          <cell r="AB229" t="str">
            <v>IRS Curve missing</v>
          </cell>
          <cell r="AC229" t="str">
            <v>IRS Curve missing</v>
          </cell>
          <cell r="AD229" t="str">
            <v>IRS Curve missing</v>
          </cell>
          <cell r="AE229" t="str">
            <v>IRS Curve missing</v>
          </cell>
        </row>
        <row r="230">
          <cell r="D230" t="str">
            <v>USD</v>
          </cell>
          <cell r="N230" t="str">
            <v>IRS Curve missing</v>
          </cell>
          <cell r="O230" t="str">
            <v>IRS Curve missing</v>
          </cell>
          <cell r="P230" t="str">
            <v>IRS Curve missing</v>
          </cell>
          <cell r="Q230" t="str">
            <v>IRS Curve missing</v>
          </cell>
          <cell r="R230" t="str">
            <v>IRS Curve missing</v>
          </cell>
          <cell r="S230" t="str">
            <v>IRS Curve missing</v>
          </cell>
          <cell r="T230" t="str">
            <v>IRS Curve missing</v>
          </cell>
          <cell r="U230" t="str">
            <v>IRS Curve missing</v>
          </cell>
          <cell r="V230" t="str">
            <v>IRS Curve missing</v>
          </cell>
          <cell r="W230" t="str">
            <v>IRS Curve missing</v>
          </cell>
          <cell r="X230" t="str">
            <v>IRS Curve missing</v>
          </cell>
          <cell r="Y230" t="str">
            <v>IRS Curve missing</v>
          </cell>
          <cell r="Z230" t="str">
            <v>IRS Curve missing</v>
          </cell>
          <cell r="AA230" t="str">
            <v>IRS Curve missing</v>
          </cell>
          <cell r="AB230" t="str">
            <v>IRS Curve missing</v>
          </cell>
          <cell r="AC230" t="str">
            <v>IRS Curve missing</v>
          </cell>
          <cell r="AD230" t="str">
            <v>IRS Curve missing</v>
          </cell>
          <cell r="AE230" t="str">
            <v>IRS Curve missing</v>
          </cell>
        </row>
        <row r="231">
          <cell r="D231" t="str">
            <v>USD</v>
          </cell>
          <cell r="N231" t="str">
            <v/>
          </cell>
          <cell r="O231" t="str">
            <v/>
          </cell>
          <cell r="P231">
            <v>2.2132504845696621E-3</v>
          </cell>
          <cell r="Q231" t="str">
            <v/>
          </cell>
          <cell r="R231">
            <v>1.1966850470858437E-2</v>
          </cell>
          <cell r="S231" t="str">
            <v/>
          </cell>
          <cell r="T231">
            <v>3.9853832726288507E-2</v>
          </cell>
          <cell r="U231">
            <v>7.0291505128049714E-2</v>
          </cell>
          <cell r="V231">
            <v>0.12197597619423672</v>
          </cell>
          <cell r="W231" t="str">
            <v/>
          </cell>
          <cell r="X231" t="str">
            <v/>
          </cell>
          <cell r="Y231">
            <v>2.4145541857339969E-3</v>
          </cell>
          <cell r="Z231" t="str">
            <v/>
          </cell>
          <cell r="AA231">
            <v>1.2571083953783035E-2</v>
          </cell>
          <cell r="AB231" t="str">
            <v/>
          </cell>
          <cell r="AC231">
            <v>4.1812955885693004E-2</v>
          </cell>
          <cell r="AD231">
            <v>7.370745200496942E-2</v>
          </cell>
          <cell r="AE231">
            <v>0.12779146838634781</v>
          </cell>
        </row>
        <row r="232">
          <cell r="D232" t="str">
            <v>USD</v>
          </cell>
          <cell r="N232" t="str">
            <v/>
          </cell>
          <cell r="O232" t="str">
            <v/>
          </cell>
          <cell r="P232">
            <v>0.22865610831083993</v>
          </cell>
          <cell r="Q232" t="str">
            <v/>
          </cell>
          <cell r="R232">
            <v>0.35919176093750027</v>
          </cell>
          <cell r="S232" t="str">
            <v/>
          </cell>
          <cell r="T232">
            <v>0.38808527159810169</v>
          </cell>
          <cell r="U232">
            <v>0.46115607383087986</v>
          </cell>
          <cell r="V232">
            <v>0.53739996228825393</v>
          </cell>
          <cell r="W232" t="str">
            <v/>
          </cell>
          <cell r="X232" t="str">
            <v/>
          </cell>
          <cell r="Y232">
            <v>0.23860382063224239</v>
          </cell>
          <cell r="Z232" t="str">
            <v/>
          </cell>
          <cell r="AA232">
            <v>0.37217444545179945</v>
          </cell>
          <cell r="AB232" t="str">
            <v/>
          </cell>
          <cell r="AC232">
            <v>0.40097335414089441</v>
          </cell>
          <cell r="AD232">
            <v>0.47556592889051075</v>
          </cell>
          <cell r="AE232">
            <v>0.55229368620553854</v>
          </cell>
        </row>
        <row r="233">
          <cell r="D233" t="str">
            <v>USD</v>
          </cell>
          <cell r="N233" t="str">
            <v/>
          </cell>
          <cell r="O233" t="str">
            <v/>
          </cell>
          <cell r="P233">
            <v>1.1435150655496606E-3</v>
          </cell>
          <cell r="Q233" t="str">
            <v/>
          </cell>
          <cell r="R233">
            <v>6.8718741904666425E-3</v>
          </cell>
          <cell r="S233" t="str">
            <v/>
          </cell>
          <cell r="T233">
            <v>1.8321133346867247E-2</v>
          </cell>
          <cell r="U233">
            <v>3.4861362698807463E-2</v>
          </cell>
          <cell r="V233">
            <v>6.6801482729193506E-2</v>
          </cell>
          <cell r="W233" t="str">
            <v/>
          </cell>
          <cell r="X233" t="str">
            <v/>
          </cell>
          <cell r="Y233">
            <v>1.3450510367698509E-3</v>
          </cell>
          <cell r="Z233" t="str">
            <v/>
          </cell>
          <cell r="AA233">
            <v>7.4059770533559943E-3</v>
          </cell>
          <cell r="AB233" t="str">
            <v/>
          </cell>
          <cell r="AC233">
            <v>1.9193629282896918E-2</v>
          </cell>
          <cell r="AD233">
            <v>3.6550397263598322E-2</v>
          </cell>
          <cell r="AE233">
            <v>7.0016906698835313E-2</v>
          </cell>
        </row>
        <row r="234">
          <cell r="D234" t="str">
            <v>USD</v>
          </cell>
          <cell r="N234" t="str">
            <v>IRS Curve missing</v>
          </cell>
          <cell r="O234" t="str">
            <v>IRS Curve missing</v>
          </cell>
          <cell r="P234" t="str">
            <v>IRS Curve missing</v>
          </cell>
          <cell r="Q234" t="str">
            <v>IRS Curve missing</v>
          </cell>
          <cell r="R234" t="str">
            <v>IRS Curve missing</v>
          </cell>
          <cell r="S234" t="str">
            <v>IRS Curve missing</v>
          </cell>
          <cell r="T234" t="str">
            <v>IRS Curve missing</v>
          </cell>
          <cell r="U234" t="str">
            <v>IRS Curve missing</v>
          </cell>
          <cell r="V234" t="str">
            <v>IRS Curve missing</v>
          </cell>
          <cell r="W234" t="str">
            <v>IRS Curve missing</v>
          </cell>
          <cell r="X234" t="str">
            <v>IRS Curve missing</v>
          </cell>
          <cell r="Y234" t="str">
            <v>IRS Curve missing</v>
          </cell>
          <cell r="Z234" t="str">
            <v>IRS Curve missing</v>
          </cell>
          <cell r="AA234" t="str">
            <v>IRS Curve missing</v>
          </cell>
          <cell r="AB234" t="str">
            <v>IRS Curve missing</v>
          </cell>
          <cell r="AC234" t="str">
            <v>IRS Curve missing</v>
          </cell>
          <cell r="AD234" t="str">
            <v>IRS Curve missing</v>
          </cell>
          <cell r="AE234" t="str">
            <v>IRS Curve missing</v>
          </cell>
        </row>
        <row r="235">
          <cell r="D235" t="str">
            <v>USD</v>
          </cell>
          <cell r="N235" t="str">
            <v/>
          </cell>
          <cell r="O235" t="str">
            <v/>
          </cell>
          <cell r="P235">
            <v>2.3340531319328006E-3</v>
          </cell>
          <cell r="Q235" t="str">
            <v/>
          </cell>
          <cell r="R235">
            <v>1.8150908405714761E-2</v>
          </cell>
          <cell r="S235" t="str">
            <v/>
          </cell>
          <cell r="T235">
            <v>4.1206160013789739E-2</v>
          </cell>
          <cell r="U235">
            <v>7.5789592832580244E-2</v>
          </cell>
          <cell r="V235">
            <v>0.13124103615241489</v>
          </cell>
          <cell r="W235" t="str">
            <v/>
          </cell>
          <cell r="X235" t="str">
            <v/>
          </cell>
          <cell r="Y235">
            <v>2.5353298954418069E-3</v>
          </cell>
          <cell r="Z235" t="str">
            <v/>
          </cell>
          <cell r="AA235">
            <v>1.9042628004754869E-2</v>
          </cell>
          <cell r="AB235" t="str">
            <v/>
          </cell>
          <cell r="AC235">
            <v>4.3228419535463636E-2</v>
          </cell>
          <cell r="AD235">
            <v>7.9465608487886752E-2</v>
          </cell>
          <cell r="AE235">
            <v>0.13746916152933231</v>
          </cell>
        </row>
        <row r="236">
          <cell r="D236" t="str">
            <v>USD</v>
          </cell>
          <cell r="N236" t="str">
            <v>IRS Curve missing</v>
          </cell>
          <cell r="O236" t="str">
            <v>IRS Curve missing</v>
          </cell>
          <cell r="P236" t="str">
            <v>IRS Curve missing</v>
          </cell>
          <cell r="Q236" t="str">
            <v>IRS Curve missing</v>
          </cell>
          <cell r="R236" t="str">
            <v>IRS Curve missing</v>
          </cell>
          <cell r="S236" t="str">
            <v>IRS Curve missing</v>
          </cell>
          <cell r="T236" t="str">
            <v>IRS Curve missing</v>
          </cell>
          <cell r="U236" t="str">
            <v>IRS Curve missing</v>
          </cell>
          <cell r="V236" t="str">
            <v>IRS Curve missing</v>
          </cell>
          <cell r="W236" t="str">
            <v>IRS Curve missing</v>
          </cell>
          <cell r="X236" t="str">
            <v>IRS Curve missing</v>
          </cell>
          <cell r="Y236" t="str">
            <v>IRS Curve missing</v>
          </cell>
          <cell r="Z236" t="str">
            <v>IRS Curve missing</v>
          </cell>
          <cell r="AA236" t="str">
            <v>IRS Curve missing</v>
          </cell>
          <cell r="AB236" t="str">
            <v>IRS Curve missing</v>
          </cell>
          <cell r="AC236" t="str">
            <v>IRS Curve missing</v>
          </cell>
          <cell r="AD236" t="str">
            <v>IRS Curve missing</v>
          </cell>
          <cell r="AE236" t="str">
            <v>IRS Curve missing</v>
          </cell>
        </row>
        <row r="237">
          <cell r="D237" t="str">
            <v>USD</v>
          </cell>
          <cell r="N237" t="str">
            <v>IRS Curve missing</v>
          </cell>
          <cell r="O237" t="str">
            <v>IRS Curve missing</v>
          </cell>
          <cell r="P237" t="str">
            <v>IRS Curve missing</v>
          </cell>
          <cell r="Q237" t="str">
            <v>IRS Curve missing</v>
          </cell>
          <cell r="R237" t="str">
            <v>IRS Curve missing</v>
          </cell>
          <cell r="S237" t="str">
            <v>IRS Curve missing</v>
          </cell>
          <cell r="T237" t="str">
            <v>IRS Curve missing</v>
          </cell>
          <cell r="U237" t="str">
            <v>IRS Curve missing</v>
          </cell>
          <cell r="V237" t="str">
            <v>IRS Curve missing</v>
          </cell>
          <cell r="W237" t="str">
            <v>IRS Curve missing</v>
          </cell>
          <cell r="X237" t="str">
            <v>IRS Curve missing</v>
          </cell>
          <cell r="Y237" t="str">
            <v>IRS Curve missing</v>
          </cell>
          <cell r="Z237" t="str">
            <v>IRS Curve missing</v>
          </cell>
          <cell r="AA237" t="str">
            <v>IRS Curve missing</v>
          </cell>
          <cell r="AB237" t="str">
            <v>IRS Curve missing</v>
          </cell>
          <cell r="AC237" t="str">
            <v>IRS Curve missing</v>
          </cell>
          <cell r="AD237" t="str">
            <v>IRS Curve missing</v>
          </cell>
          <cell r="AE237" t="str">
            <v>IRS Curve missing</v>
          </cell>
        </row>
        <row r="238">
          <cell r="D238" t="str">
            <v>USD</v>
          </cell>
          <cell r="N238" t="str">
            <v>IRS Curve missing</v>
          </cell>
          <cell r="O238" t="str">
            <v>IRS Curve missing</v>
          </cell>
          <cell r="P238" t="str">
            <v>IRS Curve missing</v>
          </cell>
          <cell r="Q238" t="str">
            <v>IRS Curve missing</v>
          </cell>
          <cell r="R238" t="str">
            <v>IRS Curve missing</v>
          </cell>
          <cell r="S238" t="str">
            <v>IRS Curve missing</v>
          </cell>
          <cell r="T238" t="str">
            <v>IRS Curve missing</v>
          </cell>
          <cell r="U238" t="str">
            <v>IRS Curve missing</v>
          </cell>
          <cell r="V238" t="str">
            <v>IRS Curve missing</v>
          </cell>
          <cell r="W238" t="str">
            <v>IRS Curve missing</v>
          </cell>
          <cell r="X238" t="str">
            <v>IRS Curve missing</v>
          </cell>
          <cell r="Y238" t="str">
            <v>IRS Curve missing</v>
          </cell>
          <cell r="Z238" t="str">
            <v>IRS Curve missing</v>
          </cell>
          <cell r="AA238" t="str">
            <v>IRS Curve missing</v>
          </cell>
          <cell r="AB238" t="str">
            <v>IRS Curve missing</v>
          </cell>
          <cell r="AC238" t="str">
            <v>IRS Curve missing</v>
          </cell>
          <cell r="AD238" t="str">
            <v>IRS Curve missing</v>
          </cell>
          <cell r="AE238" t="str">
            <v>IRS Curve missing</v>
          </cell>
        </row>
        <row r="239">
          <cell r="D239" t="str">
            <v>USD</v>
          </cell>
          <cell r="N239" t="str">
            <v>IRS Curve missing</v>
          </cell>
          <cell r="O239" t="str">
            <v>IRS Curve missing</v>
          </cell>
          <cell r="P239" t="str">
            <v>IRS Curve missing</v>
          </cell>
          <cell r="Q239" t="str">
            <v>IRS Curve missing</v>
          </cell>
          <cell r="R239" t="str">
            <v>IRS Curve missing</v>
          </cell>
          <cell r="S239" t="str">
            <v>IRS Curve missing</v>
          </cell>
          <cell r="T239" t="str">
            <v>IRS Curve missing</v>
          </cell>
          <cell r="U239" t="str">
            <v>IRS Curve missing</v>
          </cell>
          <cell r="V239" t="str">
            <v>IRS Curve missing</v>
          </cell>
          <cell r="W239" t="str">
            <v>IRS Curve missing</v>
          </cell>
          <cell r="X239" t="str">
            <v>IRS Curve missing</v>
          </cell>
          <cell r="Y239" t="str">
            <v>IRS Curve missing</v>
          </cell>
          <cell r="Z239" t="str">
            <v>IRS Curve missing</v>
          </cell>
          <cell r="AA239" t="str">
            <v>IRS Curve missing</v>
          </cell>
          <cell r="AB239" t="str">
            <v>IRS Curve missing</v>
          </cell>
          <cell r="AC239" t="str">
            <v>IRS Curve missing</v>
          </cell>
          <cell r="AD239" t="str">
            <v>IRS Curve missing</v>
          </cell>
          <cell r="AE239" t="str">
            <v>IRS Curve missing</v>
          </cell>
        </row>
        <row r="240">
          <cell r="D240" t="str">
            <v>USD</v>
          </cell>
          <cell r="N240" t="str">
            <v/>
          </cell>
          <cell r="O240" t="str">
            <v/>
          </cell>
          <cell r="P240">
            <v>2.0300054759556652E-3</v>
          </cell>
          <cell r="Q240" t="str">
            <v/>
          </cell>
          <cell r="R240">
            <v>1.3417634703849379E-2</v>
          </cell>
          <cell r="S240" t="str">
            <v/>
          </cell>
          <cell r="T240">
            <v>2.4657317387425048E-2</v>
          </cell>
          <cell r="U240">
            <v>4.1921504653806396E-2</v>
          </cell>
          <cell r="V240">
            <v>6.5634504401173688E-2</v>
          </cell>
          <cell r="W240" t="str">
            <v/>
          </cell>
          <cell r="X240" t="str">
            <v/>
          </cell>
          <cell r="Y240">
            <v>2.231349760281387E-3</v>
          </cell>
          <cell r="Z240" t="str">
            <v/>
          </cell>
          <cell r="AA240">
            <v>1.4073478010793061E-2</v>
          </cell>
          <cell r="AB240" t="str">
            <v/>
          </cell>
          <cell r="AC240">
            <v>2.5870115268499361E-2</v>
          </cell>
          <cell r="AD240">
            <v>4.3971000298561491E-2</v>
          </cell>
          <cell r="AE240">
            <v>6.8819456572785098E-2</v>
          </cell>
        </row>
        <row r="241">
          <cell r="D241" t="str">
            <v>USD</v>
          </cell>
          <cell r="N241" t="str">
            <v/>
          </cell>
          <cell r="O241" t="str">
            <v/>
          </cell>
          <cell r="P241">
            <v>4.1865569949527393E-3</v>
          </cell>
          <cell r="Q241" t="str">
            <v/>
          </cell>
          <cell r="R241">
            <v>1.9058870212797285E-2</v>
          </cell>
          <cell r="S241" t="str">
            <v/>
          </cell>
          <cell r="T241">
            <v>4.5878524620400873E-2</v>
          </cell>
          <cell r="U241">
            <v>7.4789467208857818E-2</v>
          </cell>
          <cell r="V241">
            <v>0.1204006023866111</v>
          </cell>
          <cell r="W241" t="str">
            <v/>
          </cell>
          <cell r="X241" t="str">
            <v/>
          </cell>
          <cell r="Y241">
            <v>4.3953375312154597E-3</v>
          </cell>
          <cell r="Z241" t="str">
            <v/>
          </cell>
          <cell r="AA241">
            <v>2.0004522026394023E-2</v>
          </cell>
          <cell r="AB241" t="str">
            <v/>
          </cell>
          <cell r="AC241">
            <v>4.8132830446742214E-2</v>
          </cell>
          <cell r="AD241">
            <v>7.8417671467603922E-2</v>
          </cell>
          <cell r="AE241">
            <v>0.1261175444745638</v>
          </cell>
        </row>
        <row r="242">
          <cell r="D242" t="str">
            <v>USD</v>
          </cell>
          <cell r="N242" t="str">
            <v>IRS Curve missing</v>
          </cell>
          <cell r="O242" t="str">
            <v>IRS Curve missing</v>
          </cell>
          <cell r="P242" t="str">
            <v>IRS Curve missing</v>
          </cell>
          <cell r="Q242" t="str">
            <v>IRS Curve missing</v>
          </cell>
          <cell r="R242" t="str">
            <v>IRS Curve missing</v>
          </cell>
          <cell r="S242" t="str">
            <v>IRS Curve missing</v>
          </cell>
          <cell r="T242" t="str">
            <v>IRS Curve missing</v>
          </cell>
          <cell r="U242" t="str">
            <v>IRS Curve missing</v>
          </cell>
          <cell r="V242" t="str">
            <v>IRS Curve missing</v>
          </cell>
          <cell r="W242" t="str">
            <v>IRS Curve missing</v>
          </cell>
          <cell r="X242" t="str">
            <v>IRS Curve missing</v>
          </cell>
          <cell r="Y242" t="str">
            <v>IRS Curve missing</v>
          </cell>
          <cell r="Z242" t="str">
            <v>IRS Curve missing</v>
          </cell>
          <cell r="AA242" t="str">
            <v>IRS Curve missing</v>
          </cell>
          <cell r="AB242" t="str">
            <v>IRS Curve missing</v>
          </cell>
          <cell r="AC242" t="str">
            <v>IRS Curve missing</v>
          </cell>
          <cell r="AD242" t="str">
            <v>IRS Curve missing</v>
          </cell>
          <cell r="AE242" t="str">
            <v>IRS Curve missing</v>
          </cell>
        </row>
        <row r="243">
          <cell r="D243" t="str">
            <v>USD</v>
          </cell>
          <cell r="N243" t="str">
            <v>IRS Curve missing</v>
          </cell>
          <cell r="O243" t="str">
            <v>IRS Curve missing</v>
          </cell>
          <cell r="P243" t="str">
            <v>IRS Curve missing</v>
          </cell>
          <cell r="Q243" t="str">
            <v>IRS Curve missing</v>
          </cell>
          <cell r="R243" t="str">
            <v>IRS Curve missing</v>
          </cell>
          <cell r="S243" t="str">
            <v>IRS Curve missing</v>
          </cell>
          <cell r="T243" t="str">
            <v>IRS Curve missing</v>
          </cell>
          <cell r="U243" t="str">
            <v>IRS Curve missing</v>
          </cell>
          <cell r="V243" t="str">
            <v>IRS Curve missing</v>
          </cell>
          <cell r="W243" t="str">
            <v>IRS Curve missing</v>
          </cell>
          <cell r="X243" t="str">
            <v>IRS Curve missing</v>
          </cell>
          <cell r="Y243" t="str">
            <v>IRS Curve missing</v>
          </cell>
          <cell r="Z243" t="str">
            <v>IRS Curve missing</v>
          </cell>
          <cell r="AA243" t="str">
            <v>IRS Curve missing</v>
          </cell>
          <cell r="AB243" t="str">
            <v>IRS Curve missing</v>
          </cell>
          <cell r="AC243" t="str">
            <v>IRS Curve missing</v>
          </cell>
          <cell r="AD243" t="str">
            <v>IRS Curve missing</v>
          </cell>
          <cell r="AE243" t="str">
            <v>IRS Curve missing</v>
          </cell>
        </row>
        <row r="244">
          <cell r="D244" t="str">
            <v>USD</v>
          </cell>
          <cell r="N244" t="str">
            <v/>
          </cell>
          <cell r="O244" t="str">
            <v/>
          </cell>
          <cell r="P244">
            <v>6.3003950553840449E-3</v>
          </cell>
          <cell r="Q244" t="str">
            <v/>
          </cell>
          <cell r="R244">
            <v>3.8470866117576219E-2</v>
          </cell>
          <cell r="S244" t="str">
            <v/>
          </cell>
          <cell r="T244">
            <v>0.1015577089954588</v>
          </cell>
          <cell r="U244">
            <v>0.15872385944575718</v>
          </cell>
          <cell r="V244">
            <v>0.25339341856047992</v>
          </cell>
          <cell r="W244" t="str">
            <v/>
          </cell>
          <cell r="X244" t="str">
            <v/>
          </cell>
          <cell r="Y244">
            <v>6.6141657063703008E-3</v>
          </cell>
          <cell r="Z244" t="str">
            <v/>
          </cell>
          <cell r="AA244">
            <v>4.0367835500575877E-2</v>
          </cell>
          <cell r="AB244" t="str">
            <v/>
          </cell>
          <cell r="AC244">
            <v>0.10645508257125924</v>
          </cell>
          <cell r="AD244">
            <v>0.16615294391456681</v>
          </cell>
          <cell r="AE244">
            <v>0.26469602409409221</v>
          </cell>
        </row>
        <row r="245">
          <cell r="D245" t="str">
            <v>USD</v>
          </cell>
          <cell r="N245" t="str">
            <v/>
          </cell>
          <cell r="O245" t="str">
            <v/>
          </cell>
          <cell r="P245">
            <v>1.288630524351797E-3</v>
          </cell>
          <cell r="Q245" t="str">
            <v/>
          </cell>
          <cell r="R245">
            <v>7.9276538063852708E-3</v>
          </cell>
          <cell r="S245" t="str">
            <v/>
          </cell>
          <cell r="T245">
            <v>2.3189821929304855E-2</v>
          </cell>
          <cell r="U245">
            <v>4.1984995273877113E-2</v>
          </cell>
          <cell r="V245">
            <v>7.8590254859764119E-2</v>
          </cell>
          <cell r="W245" t="str">
            <v/>
          </cell>
          <cell r="X245" t="str">
            <v/>
          </cell>
          <cell r="Y245">
            <v>1.4901356356779027E-3</v>
          </cell>
          <cell r="Z245" t="str">
            <v/>
          </cell>
          <cell r="AA245">
            <v>8.4612926270571931E-3</v>
          </cell>
          <cell r="AB245" t="str">
            <v/>
          </cell>
          <cell r="AC245">
            <v>2.4309787681346617E-2</v>
          </cell>
          <cell r="AD245">
            <v>4.4025548979984563E-2</v>
          </cell>
          <cell r="AE245">
            <v>8.2377106587859683E-2</v>
          </cell>
        </row>
        <row r="246">
          <cell r="D246" t="str">
            <v>USD</v>
          </cell>
          <cell r="N246" t="str">
            <v/>
          </cell>
          <cell r="O246" t="str">
            <v/>
          </cell>
          <cell r="P246">
            <v>1.2301837561460305E-3</v>
          </cell>
          <cell r="Q246" t="str">
            <v/>
          </cell>
          <cell r="R246">
            <v>1.2773505570352173E-2</v>
          </cell>
          <cell r="S246" t="str">
            <v/>
          </cell>
          <cell r="T246">
            <v>2.3897271010740462E-2</v>
          </cell>
          <cell r="U246">
            <v>4.472551157811655E-2</v>
          </cell>
          <cell r="V246">
            <v>8.6725432185104534E-2</v>
          </cell>
          <cell r="W246" t="str">
            <v/>
          </cell>
          <cell r="X246" t="str">
            <v/>
          </cell>
          <cell r="Y246">
            <v>1.4317013206799345E-3</v>
          </cell>
          <cell r="Z246" t="str">
            <v/>
          </cell>
          <cell r="AA246">
            <v>1.3393088014390653E-2</v>
          </cell>
          <cell r="AB246" t="str">
            <v/>
          </cell>
          <cell r="AC246">
            <v>2.5070644853956492E-2</v>
          </cell>
          <cell r="AD246">
            <v>4.6909326736040202E-2</v>
          </cell>
          <cell r="AE246">
            <v>9.0923293976113428E-2</v>
          </cell>
        </row>
        <row r="247">
          <cell r="D247" t="str">
            <v>USD</v>
          </cell>
          <cell r="N247" t="str">
            <v>IRS Curve missing</v>
          </cell>
          <cell r="O247" t="str">
            <v>IRS Curve missing</v>
          </cell>
          <cell r="P247" t="str">
            <v>IRS Curve missing</v>
          </cell>
          <cell r="Q247" t="str">
            <v>IRS Curve missing</v>
          </cell>
          <cell r="R247" t="str">
            <v>IRS Curve missing</v>
          </cell>
          <cell r="S247" t="str">
            <v>IRS Curve missing</v>
          </cell>
          <cell r="T247" t="str">
            <v>IRS Curve missing</v>
          </cell>
          <cell r="U247" t="str">
            <v>IRS Curve missing</v>
          </cell>
          <cell r="V247" t="str">
            <v>IRS Curve missing</v>
          </cell>
          <cell r="W247" t="str">
            <v>IRS Curve missing</v>
          </cell>
          <cell r="X247" t="str">
            <v>IRS Curve missing</v>
          </cell>
          <cell r="Y247" t="str">
            <v>IRS Curve missing</v>
          </cell>
          <cell r="Z247" t="str">
            <v>IRS Curve missing</v>
          </cell>
          <cell r="AA247" t="str">
            <v>IRS Curve missing</v>
          </cell>
          <cell r="AB247" t="str">
            <v>IRS Curve missing</v>
          </cell>
          <cell r="AC247" t="str">
            <v>IRS Curve missing</v>
          </cell>
          <cell r="AD247" t="str">
            <v>IRS Curve missing</v>
          </cell>
          <cell r="AE247" t="str">
            <v>IRS Curve missing</v>
          </cell>
        </row>
        <row r="248">
          <cell r="D248" t="str">
            <v>USD</v>
          </cell>
          <cell r="N248" t="str">
            <v/>
          </cell>
          <cell r="O248" t="str">
            <v/>
          </cell>
          <cell r="P248">
            <v>3.1551269838189233E-3</v>
          </cell>
          <cell r="Q248" t="str">
            <v/>
          </cell>
          <cell r="R248">
            <v>1.2730886267290686E-2</v>
          </cell>
          <cell r="S248" t="str">
            <v/>
          </cell>
          <cell r="T248">
            <v>2.4179592491641033E-2</v>
          </cell>
          <cell r="U248">
            <v>4.4125309806996582E-2</v>
          </cell>
          <cell r="V248">
            <v>7.5037004881767899E-2</v>
          </cell>
          <cell r="W248" t="str">
            <v/>
          </cell>
          <cell r="X248" t="str">
            <v/>
          </cell>
          <cell r="Y248">
            <v>3.356216721142502E-3</v>
          </cell>
          <cell r="Z248" t="str">
            <v/>
          </cell>
          <cell r="AA248">
            <v>1.3358860511562876E-2</v>
          </cell>
          <cell r="AB248" t="str">
            <v/>
          </cell>
          <cell r="AC248">
            <v>2.5373289361192652E-2</v>
          </cell>
          <cell r="AD248">
            <v>4.6288843330107077E-2</v>
          </cell>
          <cell r="AE248">
            <v>7.8674409102123088E-2</v>
          </cell>
        </row>
        <row r="249">
          <cell r="D249" t="str">
            <v>USD</v>
          </cell>
          <cell r="N249" t="str">
            <v/>
          </cell>
          <cell r="O249" t="str">
            <v/>
          </cell>
          <cell r="P249">
            <v>1.4075290015195252E-3</v>
          </cell>
          <cell r="Q249" t="str">
            <v/>
          </cell>
          <cell r="R249">
            <v>8.9184736426617395E-3</v>
          </cell>
          <cell r="S249" t="str">
            <v/>
          </cell>
          <cell r="T249">
            <v>2.3960788199934413E-2</v>
          </cell>
          <cell r="U249">
            <v>4.6002535788142729E-2</v>
          </cell>
          <cell r="V249">
            <v>8.8072585358592193E-2</v>
          </cell>
          <cell r="W249" t="str">
            <v/>
          </cell>
          <cell r="X249" t="str">
            <v/>
          </cell>
          <cell r="Y249">
            <v>1.609008678443602E-3</v>
          </cell>
          <cell r="Z249" t="str">
            <v/>
          </cell>
          <cell r="AA249">
            <v>9.451684001491989E-3</v>
          </cell>
          <cell r="AB249" t="str">
            <v/>
          </cell>
          <cell r="AC249">
            <v>2.5126229147690582E-2</v>
          </cell>
          <cell r="AD249">
            <v>4.8243336324412689E-2</v>
          </cell>
          <cell r="AE249">
            <v>9.2317477349771582E-2</v>
          </cell>
        </row>
        <row r="250">
          <cell r="D250" t="str">
            <v>USD</v>
          </cell>
          <cell r="N250" t="str">
            <v>IRS Curve missing</v>
          </cell>
          <cell r="O250" t="str">
            <v>IRS Curve missing</v>
          </cell>
          <cell r="P250" t="str">
            <v>IRS Curve missing</v>
          </cell>
          <cell r="Q250" t="str">
            <v>IRS Curve missing</v>
          </cell>
          <cell r="R250" t="str">
            <v>IRS Curve missing</v>
          </cell>
          <cell r="S250" t="str">
            <v>IRS Curve missing</v>
          </cell>
          <cell r="T250" t="str">
            <v>IRS Curve missing</v>
          </cell>
          <cell r="U250" t="str">
            <v>IRS Curve missing</v>
          </cell>
          <cell r="V250" t="str">
            <v>IRS Curve missing</v>
          </cell>
          <cell r="W250" t="str">
            <v>IRS Curve missing</v>
          </cell>
          <cell r="X250" t="str">
            <v>IRS Curve missing</v>
          </cell>
          <cell r="Y250" t="str">
            <v>IRS Curve missing</v>
          </cell>
          <cell r="Z250" t="str">
            <v>IRS Curve missing</v>
          </cell>
          <cell r="AA250" t="str">
            <v>IRS Curve missing</v>
          </cell>
          <cell r="AB250" t="str">
            <v>IRS Curve missing</v>
          </cell>
          <cell r="AC250" t="str">
            <v>IRS Curve missing</v>
          </cell>
          <cell r="AD250" t="str">
            <v>IRS Curve missing</v>
          </cell>
          <cell r="AE250" t="str">
            <v>IRS Curve missing</v>
          </cell>
        </row>
        <row r="251">
          <cell r="D251" t="str">
            <v>USD</v>
          </cell>
          <cell r="N251" t="str">
            <v>IRS Curve missing</v>
          </cell>
          <cell r="O251" t="str">
            <v>IRS Curve missing</v>
          </cell>
          <cell r="P251" t="str">
            <v>IRS Curve missing</v>
          </cell>
          <cell r="Q251" t="str">
            <v>IRS Curve missing</v>
          </cell>
          <cell r="R251" t="str">
            <v>IRS Curve missing</v>
          </cell>
          <cell r="S251" t="str">
            <v>IRS Curve missing</v>
          </cell>
          <cell r="T251" t="str">
            <v>IRS Curve missing</v>
          </cell>
          <cell r="U251" t="str">
            <v>IRS Curve missing</v>
          </cell>
          <cell r="V251" t="str">
            <v>IRS Curve missing</v>
          </cell>
          <cell r="W251" t="str">
            <v>IRS Curve missing</v>
          </cell>
          <cell r="X251" t="str">
            <v>IRS Curve missing</v>
          </cell>
          <cell r="Y251" t="str">
            <v>IRS Curve missing</v>
          </cell>
          <cell r="Z251" t="str">
            <v>IRS Curve missing</v>
          </cell>
          <cell r="AA251" t="str">
            <v>IRS Curve missing</v>
          </cell>
          <cell r="AB251" t="str">
            <v>IRS Curve missing</v>
          </cell>
          <cell r="AC251" t="str">
            <v>IRS Curve missing</v>
          </cell>
          <cell r="AD251" t="str">
            <v>IRS Curve missing</v>
          </cell>
          <cell r="AE251" t="str">
            <v>IRS Curve missing</v>
          </cell>
        </row>
        <row r="252">
          <cell r="D252" t="str">
            <v>USD</v>
          </cell>
          <cell r="N252" t="str">
            <v/>
          </cell>
          <cell r="O252" t="str">
            <v/>
          </cell>
          <cell r="P252">
            <v>7.5442188936469812E-4</v>
          </cell>
          <cell r="Q252" t="str">
            <v/>
          </cell>
          <cell r="R252">
            <v>6.9116144446548233E-3</v>
          </cell>
          <cell r="S252" t="str">
            <v/>
          </cell>
          <cell r="T252">
            <v>1.7418152726178082E-2</v>
          </cell>
          <cell r="U252">
            <v>3.8384917571397281E-2</v>
          </cell>
          <cell r="V252">
            <v>6.2011297141047361E-2</v>
          </cell>
          <cell r="W252" t="str">
            <v/>
          </cell>
          <cell r="X252" t="str">
            <v/>
          </cell>
          <cell r="Y252">
            <v>9.5603962438817192E-4</v>
          </cell>
          <cell r="Z252" t="str">
            <v/>
          </cell>
          <cell r="AA252">
            <v>7.4458608741746479E-3</v>
          </cell>
          <cell r="AB252" t="str">
            <v/>
          </cell>
          <cell r="AC252">
            <v>1.8278411723131049E-2</v>
          </cell>
          <cell r="AD252">
            <v>4.0241088826309501E-2</v>
          </cell>
          <cell r="AE252">
            <v>6.4993075275925904E-2</v>
          </cell>
        </row>
        <row r="253">
          <cell r="D253" t="str">
            <v>USD</v>
          </cell>
          <cell r="N253" t="str">
            <v/>
          </cell>
          <cell r="O253" t="str">
            <v/>
          </cell>
          <cell r="P253">
            <v>2.1890882160586767E-3</v>
          </cell>
          <cell r="Q253" t="str">
            <v/>
          </cell>
          <cell r="R253">
            <v>7.026393940761877E-3</v>
          </cell>
          <cell r="S253" t="str">
            <v/>
          </cell>
          <cell r="T253">
            <v>1.9565775547467079E-2</v>
          </cell>
          <cell r="U253">
            <v>3.6526736804563309E-2</v>
          </cell>
          <cell r="V253">
            <v>6.0230663675062468E-2</v>
          </cell>
          <cell r="W253" t="str">
            <v/>
          </cell>
          <cell r="X253" t="str">
            <v/>
          </cell>
          <cell r="Y253">
            <v>2.3903972875585211E-3</v>
          </cell>
          <cell r="Z253" t="str">
            <v/>
          </cell>
          <cell r="AA253">
            <v>7.5600119750234285E-3</v>
          </cell>
          <cell r="AB253" t="str">
            <v/>
          </cell>
          <cell r="AC253">
            <v>2.0504993487473477E-2</v>
          </cell>
          <cell r="AD253">
            <v>3.8303293793267468E-2</v>
          </cell>
          <cell r="AE253">
            <v>6.31315601164818E-2</v>
          </cell>
        </row>
        <row r="254">
          <cell r="D254" t="str">
            <v>USD</v>
          </cell>
          <cell r="N254" t="str">
            <v/>
          </cell>
          <cell r="O254" t="str">
            <v/>
          </cell>
          <cell r="P254">
            <v>1.4014836548597032E-3</v>
          </cell>
          <cell r="Q254" t="str">
            <v/>
          </cell>
          <cell r="R254">
            <v>8.4482200609220515E-3</v>
          </cell>
          <cell r="S254" t="str">
            <v/>
          </cell>
          <cell r="T254">
            <v>2.0821795703014456E-2</v>
          </cell>
          <cell r="U254">
            <v>4.0289555135754829E-2</v>
          </cell>
          <cell r="V254">
            <v>8.194544239724999E-2</v>
          </cell>
          <cell r="W254" t="str">
            <v/>
          </cell>
          <cell r="X254" t="str">
            <v/>
          </cell>
          <cell r="Y254">
            <v>1.6029646282487153E-3</v>
          </cell>
          <cell r="Z254" t="str">
            <v/>
          </cell>
          <cell r="AA254">
            <v>8.9816137683808028E-3</v>
          </cell>
          <cell r="AB254" t="str">
            <v/>
          </cell>
          <cell r="AC254">
            <v>2.1829430283145435E-2</v>
          </cell>
          <cell r="AD254">
            <v>4.225027336183973E-2</v>
          </cell>
          <cell r="AE254">
            <v>8.5899925697334623E-2</v>
          </cell>
        </row>
        <row r="255">
          <cell r="D255" t="str">
            <v>USD</v>
          </cell>
          <cell r="N255" t="str">
            <v>IRS Curve missing</v>
          </cell>
          <cell r="O255" t="str">
            <v>IRS Curve missing</v>
          </cell>
          <cell r="P255" t="str">
            <v>IRS Curve missing</v>
          </cell>
          <cell r="Q255" t="str">
            <v>IRS Curve missing</v>
          </cell>
          <cell r="R255" t="str">
            <v>IRS Curve missing</v>
          </cell>
          <cell r="S255" t="str">
            <v>IRS Curve missing</v>
          </cell>
          <cell r="T255" t="str">
            <v>IRS Curve missing</v>
          </cell>
          <cell r="U255" t="str">
            <v>IRS Curve missing</v>
          </cell>
          <cell r="V255" t="str">
            <v>IRS Curve missing</v>
          </cell>
          <cell r="W255" t="str">
            <v>IRS Curve missing</v>
          </cell>
          <cell r="X255" t="str">
            <v>IRS Curve missing</v>
          </cell>
          <cell r="Y255" t="str">
            <v>IRS Curve missing</v>
          </cell>
          <cell r="Z255" t="str">
            <v>IRS Curve missing</v>
          </cell>
          <cell r="AA255" t="str">
            <v>IRS Curve missing</v>
          </cell>
          <cell r="AB255" t="str">
            <v>IRS Curve missing</v>
          </cell>
          <cell r="AC255" t="str">
            <v>IRS Curve missing</v>
          </cell>
          <cell r="AD255" t="str">
            <v>IRS Curve missing</v>
          </cell>
          <cell r="AE255" t="str">
            <v>IRS Curve missing</v>
          </cell>
        </row>
        <row r="256">
          <cell r="D256" t="str">
            <v>USD</v>
          </cell>
          <cell r="N256" t="str">
            <v/>
          </cell>
          <cell r="O256" t="str">
            <v/>
          </cell>
          <cell r="P256">
            <v>2.7044242396441209E-3</v>
          </cell>
          <cell r="Q256" t="str">
            <v/>
          </cell>
          <cell r="R256">
            <v>1.3809308351501737E-2</v>
          </cell>
          <cell r="S256" t="str">
            <v/>
          </cell>
          <cell r="T256">
            <v>2.9545621665487798E-2</v>
          </cell>
          <cell r="U256">
            <v>4.1616492913399639E-2</v>
          </cell>
          <cell r="V256">
            <v>6.0147682927427448E-2</v>
          </cell>
          <cell r="W256" t="str">
            <v/>
          </cell>
          <cell r="X256" t="str">
            <v/>
          </cell>
          <cell r="Y256">
            <v>2.9056174955355285E-3</v>
          </cell>
          <cell r="Z256" t="str">
            <v/>
          </cell>
          <cell r="AA256">
            <v>1.4488216919255725E-2</v>
          </cell>
          <cell r="AB256" t="str">
            <v/>
          </cell>
          <cell r="AC256">
            <v>3.1000803437270408E-2</v>
          </cell>
          <cell r="AD256">
            <v>4.3648896288946526E-2</v>
          </cell>
          <cell r="AE256">
            <v>6.3067034666072441E-2</v>
          </cell>
        </row>
        <row r="257">
          <cell r="D257" t="str">
            <v>USD</v>
          </cell>
          <cell r="N257" t="str">
            <v/>
          </cell>
          <cell r="O257" t="str">
            <v/>
          </cell>
          <cell r="P257">
            <v>5.7267056591765453E-3</v>
          </cell>
          <cell r="Q257" t="str">
            <v/>
          </cell>
          <cell r="R257">
            <v>2.3681719766461495E-2</v>
          </cell>
          <cell r="S257" t="str">
            <v/>
          </cell>
          <cell r="T257">
            <v>6.3025824284445364E-2</v>
          </cell>
          <cell r="U257">
            <v>0.10390937313393478</v>
          </cell>
          <cell r="V257">
            <v>0.17535407869361019</v>
          </cell>
          <cell r="W257" t="str">
            <v/>
          </cell>
          <cell r="X257" t="str">
            <v/>
          </cell>
          <cell r="Y257">
            <v>6.0120110134633808E-3</v>
          </cell>
          <cell r="Z257" t="str">
            <v/>
          </cell>
          <cell r="AA257">
            <v>2.4854050164546337E-2</v>
          </cell>
          <cell r="AB257" t="str">
            <v/>
          </cell>
          <cell r="AC257">
            <v>6.6106307667599729E-2</v>
          </cell>
          <cell r="AD257">
            <v>0.10889492190461192</v>
          </cell>
          <cell r="AE257">
            <v>0.18350781471960953</v>
          </cell>
        </row>
        <row r="258">
          <cell r="D258" t="str">
            <v>USD</v>
          </cell>
          <cell r="N258" t="str">
            <v>IRS Curve missing</v>
          </cell>
          <cell r="O258" t="str">
            <v>IRS Curve missing</v>
          </cell>
          <cell r="P258" t="str">
            <v>IRS Curve missing</v>
          </cell>
          <cell r="Q258" t="str">
            <v>IRS Curve missing</v>
          </cell>
          <cell r="R258" t="str">
            <v>IRS Curve missing</v>
          </cell>
          <cell r="S258" t="str">
            <v>IRS Curve missing</v>
          </cell>
          <cell r="T258" t="str">
            <v>IRS Curve missing</v>
          </cell>
          <cell r="U258" t="str">
            <v>IRS Curve missing</v>
          </cell>
          <cell r="V258" t="str">
            <v>IRS Curve missing</v>
          </cell>
          <cell r="W258" t="str">
            <v>IRS Curve missing</v>
          </cell>
          <cell r="X258" t="str">
            <v>IRS Curve missing</v>
          </cell>
          <cell r="Y258" t="str">
            <v>IRS Curve missing</v>
          </cell>
          <cell r="Z258" t="str">
            <v>IRS Curve missing</v>
          </cell>
          <cell r="AA258" t="str">
            <v>IRS Curve missing</v>
          </cell>
          <cell r="AB258" t="str">
            <v>IRS Curve missing</v>
          </cell>
          <cell r="AC258" t="str">
            <v>IRS Curve missing</v>
          </cell>
          <cell r="AD258" t="str">
            <v>IRS Curve missing</v>
          </cell>
          <cell r="AE258" t="str">
            <v>IRS Curve missing</v>
          </cell>
        </row>
        <row r="259">
          <cell r="D259" t="str">
            <v>USD</v>
          </cell>
          <cell r="N259" t="str">
            <v/>
          </cell>
          <cell r="O259" t="str">
            <v/>
          </cell>
          <cell r="P259">
            <v>1.1636712402797178E-3</v>
          </cell>
          <cell r="Q259" t="str">
            <v/>
          </cell>
          <cell r="R259">
            <v>6.286632063772668E-3</v>
          </cell>
          <cell r="S259" t="str">
            <v/>
          </cell>
          <cell r="T259">
            <v>1.7933878130825143E-2</v>
          </cell>
          <cell r="U259">
            <v>3.256220666541676E-2</v>
          </cell>
          <cell r="V259">
            <v>6.105979657364391E-2</v>
          </cell>
          <cell r="W259" t="str">
            <v/>
          </cell>
          <cell r="X259" t="str">
            <v/>
          </cell>
          <cell r="Y259">
            <v>1.3652029370825325E-3</v>
          </cell>
          <cell r="Z259" t="str">
            <v/>
          </cell>
          <cell r="AA259">
            <v>6.8209509955957648E-3</v>
          </cell>
          <cell r="AB259" t="str">
            <v/>
          </cell>
          <cell r="AC259">
            <v>1.8794013401269294E-2</v>
          </cell>
          <cell r="AD259">
            <v>3.4137045747139161E-2</v>
          </cell>
          <cell r="AE259">
            <v>6.40047005958152E-2</v>
          </cell>
        </row>
        <row r="260">
          <cell r="D260" t="str">
            <v>USD</v>
          </cell>
          <cell r="N260" t="str">
            <v>IRS Curve missing</v>
          </cell>
          <cell r="O260" t="str">
            <v>IRS Curve missing</v>
          </cell>
          <cell r="P260" t="str">
            <v>IRS Curve missing</v>
          </cell>
          <cell r="Q260" t="str">
            <v>IRS Curve missing</v>
          </cell>
          <cell r="R260" t="str">
            <v>IRS Curve missing</v>
          </cell>
          <cell r="S260" t="str">
            <v>IRS Curve missing</v>
          </cell>
          <cell r="T260" t="str">
            <v>IRS Curve missing</v>
          </cell>
          <cell r="U260" t="str">
            <v>IRS Curve missing</v>
          </cell>
          <cell r="V260" t="str">
            <v>IRS Curve missing</v>
          </cell>
          <cell r="W260" t="str">
            <v>IRS Curve missing</v>
          </cell>
          <cell r="X260" t="str">
            <v>IRS Curve missing</v>
          </cell>
          <cell r="Y260" t="str">
            <v>IRS Curve missing</v>
          </cell>
          <cell r="Z260" t="str">
            <v>IRS Curve missing</v>
          </cell>
          <cell r="AA260" t="str">
            <v>IRS Curve missing</v>
          </cell>
          <cell r="AB260" t="str">
            <v>IRS Curve missing</v>
          </cell>
          <cell r="AC260" t="str">
            <v>IRS Curve missing</v>
          </cell>
          <cell r="AD260" t="str">
            <v>IRS Curve missing</v>
          </cell>
          <cell r="AE260" t="str">
            <v>IRS Curve missing</v>
          </cell>
        </row>
        <row r="261">
          <cell r="D261" t="str">
            <v>USD</v>
          </cell>
          <cell r="N261" t="str">
            <v/>
          </cell>
          <cell r="O261" t="str">
            <v/>
          </cell>
          <cell r="P261">
            <v>4.9516208278297391E-2</v>
          </cell>
          <cell r="Q261" t="str">
            <v/>
          </cell>
          <cell r="R261">
            <v>0.12568469774890634</v>
          </cell>
          <cell r="S261" t="str">
            <v/>
          </cell>
          <cell r="T261">
            <v>0.17634753798093239</v>
          </cell>
          <cell r="U261">
            <v>0.22601891475764768</v>
          </cell>
          <cell r="V261">
            <v>0.28963037096873234</v>
          </cell>
          <cell r="W261" t="str">
            <v/>
          </cell>
          <cell r="X261" t="str">
            <v/>
          </cell>
          <cell r="Y261">
            <v>5.1926577983977928E-2</v>
          </cell>
          <cell r="Z261" t="str">
            <v/>
          </cell>
          <cell r="AA261">
            <v>0.13153496424752664</v>
          </cell>
          <cell r="AB261" t="str">
            <v/>
          </cell>
          <cell r="AC261">
            <v>0.18421773314007406</v>
          </cell>
          <cell r="AD261">
            <v>0.23575086547497326</v>
          </cell>
          <cell r="AE261">
            <v>0.30143087055731543</v>
          </cell>
        </row>
        <row r="262">
          <cell r="D262" t="str">
            <v>USD</v>
          </cell>
          <cell r="N262" t="str">
            <v/>
          </cell>
          <cell r="O262" t="str">
            <v/>
          </cell>
          <cell r="P262">
            <v>8.8999530039307606E-3</v>
          </cell>
          <cell r="Q262" t="str">
            <v/>
          </cell>
          <cell r="R262">
            <v>4.2276022155377624E-2</v>
          </cell>
          <cell r="S262" t="str">
            <v/>
          </cell>
          <cell r="T262">
            <v>0.10789403095349992</v>
          </cell>
          <cell r="U262">
            <v>0.17204704382053904</v>
          </cell>
          <cell r="V262">
            <v>0.28595834642094098</v>
          </cell>
          <cell r="W262" t="str">
            <v/>
          </cell>
          <cell r="X262" t="str">
            <v/>
          </cell>
          <cell r="Y262">
            <v>9.3424366404609716E-3</v>
          </cell>
          <cell r="Z262" t="str">
            <v/>
          </cell>
          <cell r="AA262">
            <v>4.4354440111249671E-2</v>
          </cell>
          <cell r="AB262" t="str">
            <v/>
          </cell>
          <cell r="AC262">
            <v>0.11307668285762207</v>
          </cell>
          <cell r="AD262">
            <v>0.18005187513884935</v>
          </cell>
          <cell r="AE262">
            <v>0.29855864725422532</v>
          </cell>
        </row>
        <row r="263">
          <cell r="D263" t="str">
            <v>EUR</v>
          </cell>
          <cell r="N263" t="str">
            <v/>
          </cell>
          <cell r="O263">
            <v>2.5856475220602526E-3</v>
          </cell>
          <cell r="P263">
            <v>5.8616600377566774E-3</v>
          </cell>
          <cell r="Q263">
            <v>1.7864770769911442E-2</v>
          </cell>
          <cell r="R263">
            <v>3.7425991247063251E-2</v>
          </cell>
          <cell r="S263">
            <v>6.917877787002813E-2</v>
          </cell>
          <cell r="T263">
            <v>0.10541290555033767</v>
          </cell>
          <cell r="U263">
            <v>0.17970078972603942</v>
          </cell>
          <cell r="V263">
            <v>0.27993141812135047</v>
          </cell>
          <cell r="W263" t="str">
            <v/>
          </cell>
          <cell r="X263">
            <v>2.7147353867564838E-3</v>
          </cell>
          <cell r="Y263">
            <v>6.153931053225925E-3</v>
          </cell>
          <cell r="Z263">
            <v>1.8751965839392759E-2</v>
          </cell>
          <cell r="AA263">
            <v>3.9272164149566025E-2</v>
          </cell>
          <cell r="AB263">
            <v>7.2557293332457751E-2</v>
          </cell>
          <cell r="AC263">
            <v>0.11049388446578989</v>
          </cell>
          <cell r="AD263">
            <v>0.18808308566049947</v>
          </cell>
          <cell r="AE263">
            <v>0.29225414209453671</v>
          </cell>
        </row>
        <row r="264">
          <cell r="D264" t="str">
            <v>EUR</v>
          </cell>
          <cell r="N264" t="str">
            <v/>
          </cell>
          <cell r="O264">
            <v>6.3347278335050827E-3</v>
          </cell>
          <cell r="P264">
            <v>1.0839213365448352E-2</v>
          </cell>
          <cell r="Q264">
            <v>2.9911651644947579E-2</v>
          </cell>
          <cell r="R264">
            <v>5.2323941449163969E-2</v>
          </cell>
          <cell r="S264" t="str">
            <v/>
          </cell>
          <cell r="T264">
            <v>0.10716352600248547</v>
          </cell>
          <cell r="U264">
            <v>0.17256075287419792</v>
          </cell>
          <cell r="V264">
            <v>0.25268641312278461</v>
          </cell>
          <cell r="W264" t="str">
            <v/>
          </cell>
          <cell r="X264">
            <v>6.6502799465575357E-3</v>
          </cell>
          <cell r="Y264">
            <v>1.1377821773205898E-2</v>
          </cell>
          <cell r="Z264">
            <v>3.1388964222029969E-2</v>
          </cell>
          <cell r="AA264">
            <v>5.4882700635059067E-2</v>
          </cell>
          <cell r="AB264" t="str">
            <v/>
          </cell>
          <cell r="AC264">
            <v>0.1122804076630558</v>
          </cell>
          <cell r="AD264">
            <v>0.18055560167481355</v>
          </cell>
          <cell r="AE264">
            <v>0.26380640864180871</v>
          </cell>
        </row>
        <row r="265">
          <cell r="D265" t="str">
            <v>USD</v>
          </cell>
          <cell r="N265" t="str">
            <v>IRS Curve missing</v>
          </cell>
          <cell r="O265" t="str">
            <v>IRS Curve missing</v>
          </cell>
          <cell r="P265" t="str">
            <v>IRS Curve missing</v>
          </cell>
          <cell r="Q265" t="str">
            <v>IRS Curve missing</v>
          </cell>
          <cell r="R265" t="str">
            <v>IRS Curve missing</v>
          </cell>
          <cell r="S265" t="str">
            <v>IRS Curve missing</v>
          </cell>
          <cell r="T265" t="str">
            <v>IRS Curve missing</v>
          </cell>
          <cell r="U265" t="str">
            <v>IRS Curve missing</v>
          </cell>
          <cell r="V265" t="str">
            <v>IRS Curve missing</v>
          </cell>
          <cell r="W265" t="str">
            <v>IRS Curve missing</v>
          </cell>
          <cell r="X265" t="str">
            <v>IRS Curve missing</v>
          </cell>
          <cell r="Y265" t="str">
            <v>IRS Curve missing</v>
          </cell>
          <cell r="Z265" t="str">
            <v>IRS Curve missing</v>
          </cell>
          <cell r="AA265" t="str">
            <v>IRS Curve missing</v>
          </cell>
          <cell r="AB265" t="str">
            <v>IRS Curve missing</v>
          </cell>
          <cell r="AC265" t="str">
            <v>IRS Curve missing</v>
          </cell>
          <cell r="AD265" t="str">
            <v>IRS Curve missing</v>
          </cell>
          <cell r="AE265" t="str">
            <v>IRS Curve missing</v>
          </cell>
        </row>
        <row r="266">
          <cell r="D266" t="str">
            <v>USD</v>
          </cell>
          <cell r="N266" t="str">
            <v>IRS Curve missing</v>
          </cell>
          <cell r="O266" t="str">
            <v>IRS Curve missing</v>
          </cell>
          <cell r="P266" t="str">
            <v>IRS Curve missing</v>
          </cell>
          <cell r="Q266" t="str">
            <v>IRS Curve missing</v>
          </cell>
          <cell r="R266" t="str">
            <v>IRS Curve missing</v>
          </cell>
          <cell r="S266" t="str">
            <v>IRS Curve missing</v>
          </cell>
          <cell r="T266" t="str">
            <v>IRS Curve missing</v>
          </cell>
          <cell r="U266" t="str">
            <v>IRS Curve missing</v>
          </cell>
          <cell r="V266" t="str">
            <v>IRS Curve missing</v>
          </cell>
          <cell r="W266" t="str">
            <v>IRS Curve missing</v>
          </cell>
          <cell r="X266" t="str">
            <v>IRS Curve missing</v>
          </cell>
          <cell r="Y266" t="str">
            <v>IRS Curve missing</v>
          </cell>
          <cell r="Z266" t="str">
            <v>IRS Curve missing</v>
          </cell>
          <cell r="AA266" t="str">
            <v>IRS Curve missing</v>
          </cell>
          <cell r="AB266" t="str">
            <v>IRS Curve missing</v>
          </cell>
          <cell r="AC266" t="str">
            <v>IRS Curve missing</v>
          </cell>
          <cell r="AD266" t="str">
            <v>IRS Curve missing</v>
          </cell>
          <cell r="AE266" t="str">
            <v>IRS Curve missing</v>
          </cell>
        </row>
        <row r="267">
          <cell r="D267" t="str">
            <v>USD</v>
          </cell>
          <cell r="N267" t="str">
            <v>IRS Curve missing</v>
          </cell>
          <cell r="O267" t="str">
            <v>IRS Curve missing</v>
          </cell>
          <cell r="P267" t="str">
            <v>IRS Curve missing</v>
          </cell>
          <cell r="Q267" t="str">
            <v>IRS Curve missing</v>
          </cell>
          <cell r="R267" t="str">
            <v>IRS Curve missing</v>
          </cell>
          <cell r="S267" t="str">
            <v>IRS Curve missing</v>
          </cell>
          <cell r="T267" t="str">
            <v>IRS Curve missing</v>
          </cell>
          <cell r="U267" t="str">
            <v>IRS Curve missing</v>
          </cell>
          <cell r="V267" t="str">
            <v>IRS Curve missing</v>
          </cell>
          <cell r="W267" t="str">
            <v>IRS Curve missing</v>
          </cell>
          <cell r="X267" t="str">
            <v>IRS Curve missing</v>
          </cell>
          <cell r="Y267" t="str">
            <v>IRS Curve missing</v>
          </cell>
          <cell r="Z267" t="str">
            <v>IRS Curve missing</v>
          </cell>
          <cell r="AA267" t="str">
            <v>IRS Curve missing</v>
          </cell>
          <cell r="AB267" t="str">
            <v>IRS Curve missing</v>
          </cell>
          <cell r="AC267" t="str">
            <v>IRS Curve missing</v>
          </cell>
          <cell r="AD267" t="str">
            <v>IRS Curve missing</v>
          </cell>
          <cell r="AE267" t="str">
            <v>IRS Curve missing</v>
          </cell>
        </row>
        <row r="268">
          <cell r="D268" t="str">
            <v>EUR</v>
          </cell>
          <cell r="N268" t="str">
            <v/>
          </cell>
          <cell r="O268">
            <v>8.2342876691621214E-4</v>
          </cell>
          <cell r="P268">
            <v>2.8465196034316298E-3</v>
          </cell>
          <cell r="Q268">
            <v>9.3484363887806898E-3</v>
          </cell>
          <cell r="R268">
            <v>1.9669585554483171E-2</v>
          </cell>
          <cell r="S268" t="str">
            <v/>
          </cell>
          <cell r="T268">
            <v>4.9886581084836013E-2</v>
          </cell>
          <cell r="U268">
            <v>8.5935569257326039E-2</v>
          </cell>
          <cell r="V268">
            <v>0.1481621210676104</v>
          </cell>
          <cell r="W268" t="str">
            <v/>
          </cell>
          <cell r="X268">
            <v>9.4100424795140469E-4</v>
          </cell>
          <cell r="Y268">
            <v>3.0478139257948955E-3</v>
          </cell>
          <cell r="Z268">
            <v>9.8103109106891795E-3</v>
          </cell>
          <cell r="AA268">
            <v>2.0641800500786123E-2</v>
          </cell>
          <cell r="AB268" t="str">
            <v/>
          </cell>
          <cell r="AC268">
            <v>5.2329943320532868E-2</v>
          </cell>
          <cell r="AD268">
            <v>9.0090081406438705E-2</v>
          </cell>
          <cell r="AE268">
            <v>0.15513687167434842</v>
          </cell>
        </row>
        <row r="269">
          <cell r="D269" t="str">
            <v>USD</v>
          </cell>
          <cell r="N269" t="str">
            <v/>
          </cell>
          <cell r="O269" t="str">
            <v/>
          </cell>
          <cell r="P269">
            <v>5.7848918807545946E-3</v>
          </cell>
          <cell r="Q269" t="str">
            <v/>
          </cell>
          <cell r="R269">
            <v>6.1469108989470667E-2</v>
          </cell>
          <cell r="S269" t="str">
            <v/>
          </cell>
          <cell r="T269">
            <v>9.7166521135520711E-2</v>
          </cell>
          <cell r="U269">
            <v>0.12513967036949947</v>
          </cell>
          <cell r="V269">
            <v>0.16520871286333116</v>
          </cell>
          <cell r="W269" t="str">
            <v/>
          </cell>
          <cell r="X269" t="str">
            <v/>
          </cell>
          <cell r="Y269">
            <v>6.0730852957645576E-3</v>
          </cell>
          <cell r="Z269" t="str">
            <v/>
          </cell>
          <cell r="AA269">
            <v>6.4484532223203161E-2</v>
          </cell>
          <cell r="AB269" t="str">
            <v/>
          </cell>
          <cell r="AC269">
            <v>0.10179590519460846</v>
          </cell>
          <cell r="AD269">
            <v>0.13098296962391409</v>
          </cell>
          <cell r="AE269">
            <v>0.17268860425311161</v>
          </cell>
        </row>
        <row r="270">
          <cell r="D270" t="str">
            <v>USD</v>
          </cell>
          <cell r="N270" t="str">
            <v/>
          </cell>
          <cell r="O270" t="str">
            <v/>
          </cell>
          <cell r="P270">
            <v>3.953421640488286E-3</v>
          </cell>
          <cell r="Q270" t="str">
            <v/>
          </cell>
          <cell r="R270">
            <v>2.3524520405212246E-2</v>
          </cell>
          <cell r="S270" t="str">
            <v/>
          </cell>
          <cell r="T270">
            <v>6.3751228557995754E-2</v>
          </cell>
          <cell r="U270">
            <v>9.7269076420579248E-2</v>
          </cell>
          <cell r="V270">
            <v>0.15714793392335069</v>
          </cell>
          <cell r="W270" t="str">
            <v/>
          </cell>
          <cell r="X270" t="str">
            <v/>
          </cell>
          <cell r="Y270">
            <v>4.1543227734222032E-3</v>
          </cell>
          <cell r="Z270" t="str">
            <v/>
          </cell>
          <cell r="AA270">
            <v>2.4690278684539102E-2</v>
          </cell>
          <cell r="AB270" t="str">
            <v/>
          </cell>
          <cell r="AC270">
            <v>6.6868856257451315E-2</v>
          </cell>
          <cell r="AD270">
            <v>0.10194023393073348</v>
          </cell>
          <cell r="AE270">
            <v>0.1644901774419415</v>
          </cell>
        </row>
        <row r="271">
          <cell r="D271" t="str">
            <v>USD</v>
          </cell>
          <cell r="N271" t="str">
            <v/>
          </cell>
          <cell r="O271" t="str">
            <v/>
          </cell>
          <cell r="P271">
            <v>4.0277896470178876E-3</v>
          </cell>
          <cell r="Q271" t="str">
            <v/>
          </cell>
          <cell r="R271">
            <v>1.900093404651837E-2</v>
          </cell>
          <cell r="S271" t="str">
            <v/>
          </cell>
          <cell r="T271">
            <v>4.4369755084560092E-2</v>
          </cell>
          <cell r="U271">
            <v>8.4452997677122665E-2</v>
          </cell>
          <cell r="V271">
            <v>0.15211759107653977</v>
          </cell>
          <cell r="W271" t="str">
            <v/>
          </cell>
          <cell r="X271" t="str">
            <v/>
          </cell>
          <cell r="Y271">
            <v>4.2286728609549629E-3</v>
          </cell>
          <cell r="Z271" t="str">
            <v/>
          </cell>
          <cell r="AA271">
            <v>1.9943842499609343E-2</v>
          </cell>
          <cell r="AB271" t="str">
            <v/>
          </cell>
          <cell r="AC271">
            <v>4.6550259889424184E-2</v>
          </cell>
          <cell r="AD271">
            <v>8.8549100261641533E-2</v>
          </cell>
          <cell r="AE271">
            <v>0.15929360187011488</v>
          </cell>
        </row>
        <row r="272">
          <cell r="D272" t="str">
            <v>USD</v>
          </cell>
          <cell r="N272" t="str">
            <v>IRS Curve missing</v>
          </cell>
          <cell r="O272" t="str">
            <v>IRS Curve missing</v>
          </cell>
          <cell r="P272" t="str">
            <v>IRS Curve missing</v>
          </cell>
          <cell r="Q272" t="str">
            <v>IRS Curve missing</v>
          </cell>
          <cell r="R272" t="str">
            <v>IRS Curve missing</v>
          </cell>
          <cell r="S272" t="str">
            <v>IRS Curve missing</v>
          </cell>
          <cell r="T272" t="str">
            <v>IRS Curve missing</v>
          </cell>
          <cell r="U272" t="str">
            <v>IRS Curve missing</v>
          </cell>
          <cell r="V272" t="str">
            <v>IRS Curve missing</v>
          </cell>
          <cell r="W272" t="str">
            <v>IRS Curve missing</v>
          </cell>
          <cell r="X272" t="str">
            <v>IRS Curve missing</v>
          </cell>
          <cell r="Y272" t="str">
            <v>IRS Curve missing</v>
          </cell>
          <cell r="Z272" t="str">
            <v>IRS Curve missing</v>
          </cell>
          <cell r="AA272" t="str">
            <v>IRS Curve missing</v>
          </cell>
          <cell r="AB272" t="str">
            <v>IRS Curve missing</v>
          </cell>
          <cell r="AC272" t="str">
            <v>IRS Curve missing</v>
          </cell>
          <cell r="AD272" t="str">
            <v>IRS Curve missing</v>
          </cell>
          <cell r="AE272" t="str">
            <v>IRS Curve missing</v>
          </cell>
        </row>
        <row r="273">
          <cell r="D273" t="str">
            <v>EUR</v>
          </cell>
          <cell r="N273" t="str">
            <v/>
          </cell>
          <cell r="O273">
            <v>1.1761201684514777E-3</v>
          </cell>
          <cell r="P273">
            <v>3.2455371452223547E-3</v>
          </cell>
          <cell r="Q273">
            <v>8.9405072195574142E-3</v>
          </cell>
          <cell r="R273">
            <v>1.6856351470665221E-2</v>
          </cell>
          <cell r="S273" t="str">
            <v/>
          </cell>
          <cell r="T273">
            <v>4.6505047419776013E-2</v>
          </cell>
          <cell r="U273">
            <v>7.7358311781463907E-2</v>
          </cell>
          <cell r="V273">
            <v>0.12363881047229486</v>
          </cell>
          <cell r="W273" t="str">
            <v/>
          </cell>
          <cell r="X273">
            <v>1.293652314683702E-3</v>
          </cell>
          <cell r="Y273">
            <v>3.4467366220021223E-3</v>
          </cell>
          <cell r="Z273">
            <v>9.3833389957745927E-3</v>
          </cell>
          <cell r="AA273">
            <v>1.7690540757743789E-2</v>
          </cell>
          <cell r="AB273" t="str">
            <v/>
          </cell>
          <cell r="AC273">
            <v>4.878935088683789E-2</v>
          </cell>
          <cell r="AD273">
            <v>8.1109189293386619E-2</v>
          </cell>
          <cell r="AE273">
            <v>0.12950190662062955</v>
          </cell>
        </row>
        <row r="274">
          <cell r="D274" t="str">
            <v>USD</v>
          </cell>
          <cell r="N274" t="str">
            <v>IRS Curve missing</v>
          </cell>
          <cell r="O274" t="str">
            <v>IRS Curve missing</v>
          </cell>
          <cell r="P274" t="str">
            <v>IRS Curve missing</v>
          </cell>
          <cell r="Q274" t="str">
            <v>IRS Curve missing</v>
          </cell>
          <cell r="R274" t="str">
            <v>IRS Curve missing</v>
          </cell>
          <cell r="S274" t="str">
            <v>IRS Curve missing</v>
          </cell>
          <cell r="T274" t="str">
            <v>IRS Curve missing</v>
          </cell>
          <cell r="U274" t="str">
            <v>IRS Curve missing</v>
          </cell>
          <cell r="V274" t="str">
            <v>IRS Curve missing</v>
          </cell>
          <cell r="W274" t="str">
            <v>IRS Curve missing</v>
          </cell>
          <cell r="X274" t="str">
            <v>IRS Curve missing</v>
          </cell>
          <cell r="Y274" t="str">
            <v>IRS Curve missing</v>
          </cell>
          <cell r="Z274" t="str">
            <v>IRS Curve missing</v>
          </cell>
          <cell r="AA274" t="str">
            <v>IRS Curve missing</v>
          </cell>
          <cell r="AB274" t="str">
            <v>IRS Curve missing</v>
          </cell>
          <cell r="AC274" t="str">
            <v>IRS Curve missing</v>
          </cell>
          <cell r="AD274" t="str">
            <v>IRS Curve missing</v>
          </cell>
          <cell r="AE274" t="str">
            <v>IRS Curve missing</v>
          </cell>
        </row>
        <row r="275">
          <cell r="D275" t="str">
            <v>EUR</v>
          </cell>
          <cell r="N275" t="str">
            <v/>
          </cell>
          <cell r="O275">
            <v>2.1825408327398543E-2</v>
          </cell>
          <cell r="P275">
            <v>3.713532583524759E-2</v>
          </cell>
          <cell r="Q275">
            <v>6.1465138088080518E-2</v>
          </cell>
          <cell r="R275">
            <v>8.4302816954063164E-2</v>
          </cell>
          <cell r="S275" t="str">
            <v/>
          </cell>
          <cell r="T275">
            <v>0.12072295355551577</v>
          </cell>
          <cell r="U275">
            <v>0.16424796212343096</v>
          </cell>
          <cell r="V275">
            <v>0.22451832002221528</v>
          </cell>
          <cell r="W275" t="str">
            <v/>
          </cell>
          <cell r="X275">
            <v>2.2901901414331682E-2</v>
          </cell>
          <cell r="Y275">
            <v>3.8951735466038251E-2</v>
          </cell>
          <cell r="Z275">
            <v>6.4430503119396021E-2</v>
          </cell>
          <cell r="AA275">
            <v>8.8314593798215046E-2</v>
          </cell>
          <cell r="AB275" t="str">
            <v/>
          </cell>
          <cell r="AC275">
            <v>0.12631799876629857</v>
          </cell>
          <cell r="AD275">
            <v>0.1716788253042465</v>
          </cell>
          <cell r="AE275">
            <v>0.23427079455824884</v>
          </cell>
        </row>
        <row r="276">
          <cell r="D276" t="str">
            <v>EUR</v>
          </cell>
          <cell r="N276" t="str">
            <v/>
          </cell>
          <cell r="O276">
            <v>1.0069820504806648E-2</v>
          </cell>
          <cell r="P276">
            <v>1.7206708673479842E-2</v>
          </cell>
          <cell r="Q276">
            <v>3.1291137588252971E-2</v>
          </cell>
          <cell r="R276">
            <v>4.6711278825774638E-2</v>
          </cell>
          <cell r="S276" t="str">
            <v/>
          </cell>
          <cell r="T276">
            <v>8.0287269930523042E-2</v>
          </cell>
          <cell r="U276">
            <v>0.1090857935665307</v>
          </cell>
          <cell r="V276">
            <v>0.15092360876265321</v>
          </cell>
          <cell r="W276" t="str">
            <v/>
          </cell>
          <cell r="X276">
            <v>1.0570281369692514E-2</v>
          </cell>
          <cell r="Y276">
            <v>1.8058579626424431E-2</v>
          </cell>
          <cell r="Z276">
            <v>3.2828371298317727E-2</v>
          </cell>
          <cell r="AA276">
            <v>4.8990289355096861E-2</v>
          </cell>
          <cell r="AB276" t="str">
            <v/>
          </cell>
          <cell r="AC276">
            <v>8.413755989934768E-2</v>
          </cell>
          <cell r="AD276">
            <v>0.11422488175560319</v>
          </cell>
          <cell r="AE276">
            <v>0.15785186378721838</v>
          </cell>
        </row>
        <row r="277">
          <cell r="D277" t="str">
            <v>USD</v>
          </cell>
          <cell r="N277" t="str">
            <v>IRS Curve missing</v>
          </cell>
          <cell r="O277" t="str">
            <v>IRS Curve missing</v>
          </cell>
          <cell r="P277" t="str">
            <v>IRS Curve missing</v>
          </cell>
          <cell r="Q277" t="str">
            <v>IRS Curve missing</v>
          </cell>
          <cell r="R277" t="str">
            <v>IRS Curve missing</v>
          </cell>
          <cell r="S277" t="str">
            <v>IRS Curve missing</v>
          </cell>
          <cell r="T277" t="str">
            <v>IRS Curve missing</v>
          </cell>
          <cell r="U277" t="str">
            <v>IRS Curve missing</v>
          </cell>
          <cell r="V277" t="str">
            <v>IRS Curve missing</v>
          </cell>
          <cell r="W277" t="str">
            <v>IRS Curve missing</v>
          </cell>
          <cell r="X277" t="str">
            <v>IRS Curve missing</v>
          </cell>
          <cell r="Y277" t="str">
            <v>IRS Curve missing</v>
          </cell>
          <cell r="Z277" t="str">
            <v>IRS Curve missing</v>
          </cell>
          <cell r="AA277" t="str">
            <v>IRS Curve missing</v>
          </cell>
          <cell r="AB277" t="str">
            <v>IRS Curve missing</v>
          </cell>
          <cell r="AC277" t="str">
            <v>IRS Curve missing</v>
          </cell>
          <cell r="AD277" t="str">
            <v>IRS Curve missing</v>
          </cell>
          <cell r="AE277" t="str">
            <v>IRS Curve missing</v>
          </cell>
        </row>
        <row r="278">
          <cell r="D278" t="str">
            <v>EUR</v>
          </cell>
          <cell r="N278" t="str">
            <v/>
          </cell>
          <cell r="O278">
            <v>1.4111789373691952E-3</v>
          </cell>
          <cell r="P278">
            <v>3.4431525528769713E-3</v>
          </cell>
          <cell r="Q278">
            <v>1.0449032536976599E-2</v>
          </cell>
          <cell r="R278">
            <v>1.8999814037624074E-2</v>
          </cell>
          <cell r="S278" t="str">
            <v/>
          </cell>
          <cell r="T278">
            <v>3.9709005219032423E-2</v>
          </cell>
          <cell r="U278">
            <v>6.3346468853093585E-2</v>
          </cell>
          <cell r="V278">
            <v>0.10707149788298254</v>
          </cell>
          <cell r="W278" t="str">
            <v/>
          </cell>
          <cell r="X278">
            <v>1.5286818104438549E-3</v>
          </cell>
          <cell r="Y278">
            <v>3.6442988133077447E-3</v>
          </cell>
          <cell r="Z278">
            <v>1.0967183165382255E-2</v>
          </cell>
          <cell r="AA278">
            <v>1.9940099735572203E-2</v>
          </cell>
          <cell r="AB278" t="str">
            <v/>
          </cell>
          <cell r="AC278">
            <v>4.1659749120524281E-2</v>
          </cell>
          <cell r="AD278">
            <v>6.6427452002481679E-2</v>
          </cell>
          <cell r="AE278">
            <v>0.11218628176922074</v>
          </cell>
        </row>
        <row r="279">
          <cell r="D279" t="str">
            <v>EUR</v>
          </cell>
          <cell r="N279" t="str">
            <v/>
          </cell>
          <cell r="O279">
            <v>1.2936564344949719E-3</v>
          </cell>
          <cell r="P279">
            <v>3.0371385243767035E-3</v>
          </cell>
          <cell r="Q279">
            <v>7.0523081357990458E-3</v>
          </cell>
          <cell r="R279">
            <v>1.4152379480836363E-2</v>
          </cell>
          <cell r="S279" t="str">
            <v/>
          </cell>
          <cell r="T279">
            <v>3.3836434234451929E-2</v>
          </cell>
          <cell r="U279">
            <v>5.8057670574571452E-2</v>
          </cell>
          <cell r="V279">
            <v>9.953756197822039E-2</v>
          </cell>
          <cell r="W279" t="str">
            <v/>
          </cell>
          <cell r="X279">
            <v>1.4111739830211523E-3</v>
          </cell>
          <cell r="Y279">
            <v>3.2383529486319507E-3</v>
          </cell>
          <cell r="Z279">
            <v>7.4194568097494251E-3</v>
          </cell>
          <cell r="AA279">
            <v>1.4851488418520242E-2</v>
          </cell>
          <cell r="AB279" t="str">
            <v/>
          </cell>
          <cell r="AC279">
            <v>3.5502549369802572E-2</v>
          </cell>
          <cell r="AD279">
            <v>6.0891743334757109E-2</v>
          </cell>
          <cell r="AE279">
            <v>0.10431506579013672</v>
          </cell>
        </row>
        <row r="280">
          <cell r="D280" t="str">
            <v>EUR</v>
          </cell>
          <cell r="N280" t="str">
            <v/>
          </cell>
          <cell r="O280">
            <v>1.2936564344949719E-3</v>
          </cell>
          <cell r="P280">
            <v>3.2419657329573193E-3</v>
          </cell>
          <cell r="Q280">
            <v>7.4177263808794525E-3</v>
          </cell>
          <cell r="R280">
            <v>1.5245045550931202E-2</v>
          </cell>
          <cell r="S280" t="str">
            <v/>
          </cell>
          <cell r="T280">
            <v>3.460989176827034E-2</v>
          </cell>
          <cell r="U280">
            <v>5.6479424568010583E-2</v>
          </cell>
          <cell r="V280">
            <v>9.7636050186695522E-2</v>
          </cell>
          <cell r="W280" t="str">
            <v/>
          </cell>
          <cell r="X280">
            <v>1.4111739830211523E-3</v>
          </cell>
          <cell r="Y280">
            <v>3.4431523976948819E-3</v>
          </cell>
          <cell r="Z280">
            <v>7.78474444864663E-3</v>
          </cell>
          <cell r="AA280">
            <v>1.5999449974483659E-2</v>
          </cell>
          <cell r="AB280" t="str">
            <v/>
          </cell>
          <cell r="AC280">
            <v>3.6313585072826782E-2</v>
          </cell>
          <cell r="AD280">
            <v>5.9235632755419543E-2</v>
          </cell>
          <cell r="AE280">
            <v>0.10232384305766984</v>
          </cell>
        </row>
        <row r="281">
          <cell r="D281" t="str">
            <v>USD</v>
          </cell>
          <cell r="N281" t="str">
            <v>IRS Curve missing</v>
          </cell>
          <cell r="O281" t="str">
            <v>IRS Curve missing</v>
          </cell>
          <cell r="P281" t="str">
            <v>IRS Curve missing</v>
          </cell>
          <cell r="Q281" t="str">
            <v>IRS Curve missing</v>
          </cell>
          <cell r="R281" t="str">
            <v>IRS Curve missing</v>
          </cell>
          <cell r="S281" t="str">
            <v>IRS Curve missing</v>
          </cell>
          <cell r="T281" t="str">
            <v>IRS Curve missing</v>
          </cell>
          <cell r="U281" t="str">
            <v>IRS Curve missing</v>
          </cell>
          <cell r="V281" t="str">
            <v>IRS Curve missing</v>
          </cell>
          <cell r="W281" t="str">
            <v>IRS Curve missing</v>
          </cell>
          <cell r="X281" t="str">
            <v>IRS Curve missing</v>
          </cell>
          <cell r="Y281" t="str">
            <v>IRS Curve missing</v>
          </cell>
          <cell r="Z281" t="str">
            <v>IRS Curve missing</v>
          </cell>
          <cell r="AA281" t="str">
            <v>IRS Curve missing</v>
          </cell>
          <cell r="AB281" t="str">
            <v>IRS Curve missing</v>
          </cell>
          <cell r="AC281" t="str">
            <v>IRS Curve missing</v>
          </cell>
          <cell r="AD281" t="str">
            <v>IRS Curve missing</v>
          </cell>
          <cell r="AE281" t="str">
            <v>IRS Curve missing</v>
          </cell>
        </row>
        <row r="282">
          <cell r="D282" t="str">
            <v>EUR</v>
          </cell>
          <cell r="N282" t="str">
            <v/>
          </cell>
          <cell r="O282">
            <v>9.4100633706173387E-4</v>
          </cell>
          <cell r="P282">
            <v>2.0232612561962293E-3</v>
          </cell>
          <cell r="Q282">
            <v>7.1159203209344435E-3</v>
          </cell>
          <cell r="R282">
            <v>1.3070807781553895E-2</v>
          </cell>
          <cell r="S282" t="str">
            <v/>
          </cell>
          <cell r="T282">
            <v>3.4079363455269962E-2</v>
          </cell>
          <cell r="U282">
            <v>5.5502030521142998E-2</v>
          </cell>
          <cell r="V282">
            <v>9.4553893679440892E-2</v>
          </cell>
          <cell r="W282" t="str">
            <v/>
          </cell>
          <cell r="X282">
            <v>1.0585674487949559E-3</v>
          </cell>
          <cell r="Y282">
            <v>2.2246532190236534E-3</v>
          </cell>
          <cell r="Z282">
            <v>7.483271245583456E-3</v>
          </cell>
          <cell r="AA282">
            <v>1.3715095125287124E-2</v>
          </cell>
          <cell r="AB282" t="str">
            <v/>
          </cell>
          <cell r="AC282">
            <v>3.5754115520358454E-2</v>
          </cell>
          <cell r="AD282">
            <v>5.8209914058552803E-2</v>
          </cell>
          <cell r="AE282">
            <v>9.909506455409367E-2</v>
          </cell>
        </row>
        <row r="283">
          <cell r="D283" t="str">
            <v>USD</v>
          </cell>
          <cell r="N283" t="str">
            <v>IRS Curve missing</v>
          </cell>
          <cell r="O283" t="str">
            <v>IRS Curve missing</v>
          </cell>
          <cell r="P283" t="str">
            <v>IRS Curve missing</v>
          </cell>
          <cell r="Q283" t="str">
            <v>IRS Curve missing</v>
          </cell>
          <cell r="R283" t="str">
            <v>IRS Curve missing</v>
          </cell>
          <cell r="S283" t="str">
            <v>IRS Curve missing</v>
          </cell>
          <cell r="T283" t="str">
            <v>IRS Curve missing</v>
          </cell>
          <cell r="U283" t="str">
            <v>IRS Curve missing</v>
          </cell>
          <cell r="V283" t="str">
            <v>IRS Curve missing</v>
          </cell>
          <cell r="W283" t="str">
            <v>IRS Curve missing</v>
          </cell>
          <cell r="X283" t="str">
            <v>IRS Curve missing</v>
          </cell>
          <cell r="Y283" t="str">
            <v>IRS Curve missing</v>
          </cell>
          <cell r="Z283" t="str">
            <v>IRS Curve missing</v>
          </cell>
          <cell r="AA283" t="str">
            <v>IRS Curve missing</v>
          </cell>
          <cell r="AB283" t="str">
            <v>IRS Curve missing</v>
          </cell>
          <cell r="AC283" t="str">
            <v>IRS Curve missing</v>
          </cell>
          <cell r="AD283" t="str">
            <v>IRS Curve missing</v>
          </cell>
          <cell r="AE283" t="str">
            <v>IRS Curve missing</v>
          </cell>
        </row>
        <row r="284">
          <cell r="D284" t="str">
            <v>USD</v>
          </cell>
          <cell r="N284" t="str">
            <v>IRS Curve missing</v>
          </cell>
          <cell r="O284" t="str">
            <v>IRS Curve missing</v>
          </cell>
          <cell r="P284" t="str">
            <v>IRS Curve missing</v>
          </cell>
          <cell r="Q284" t="str">
            <v>IRS Curve missing</v>
          </cell>
          <cell r="R284" t="str">
            <v>IRS Curve missing</v>
          </cell>
          <cell r="S284" t="str">
            <v>IRS Curve missing</v>
          </cell>
          <cell r="T284" t="str">
            <v>IRS Curve missing</v>
          </cell>
          <cell r="U284" t="str">
            <v>IRS Curve missing</v>
          </cell>
          <cell r="V284" t="str">
            <v>IRS Curve missing</v>
          </cell>
          <cell r="W284" t="str">
            <v>IRS Curve missing</v>
          </cell>
          <cell r="X284" t="str">
            <v>IRS Curve missing</v>
          </cell>
          <cell r="Y284" t="str">
            <v>IRS Curve missing</v>
          </cell>
          <cell r="Z284" t="str">
            <v>IRS Curve missing</v>
          </cell>
          <cell r="AA284" t="str">
            <v>IRS Curve missing</v>
          </cell>
          <cell r="AB284" t="str">
            <v>IRS Curve missing</v>
          </cell>
          <cell r="AC284" t="str">
            <v>IRS Curve missing</v>
          </cell>
          <cell r="AD284" t="str">
            <v>IRS Curve missing</v>
          </cell>
          <cell r="AE284" t="str">
            <v>IRS Curve missing</v>
          </cell>
        </row>
        <row r="285">
          <cell r="D285" t="str">
            <v>EUR</v>
          </cell>
          <cell r="N285" t="str">
            <v/>
          </cell>
          <cell r="O285">
            <v>7.0583742388907744E-4</v>
          </cell>
          <cell r="P285">
            <v>1.6203553656132241E-3</v>
          </cell>
          <cell r="Q285">
            <v>4.8594954258025513E-3</v>
          </cell>
          <cell r="R285">
            <v>1.0406378585976039E-2</v>
          </cell>
          <cell r="S285" t="str">
            <v/>
          </cell>
          <cell r="T285">
            <v>2.7886487593409948E-2</v>
          </cell>
          <cell r="U285">
            <v>4.9953150970014071E-2</v>
          </cell>
          <cell r="V285">
            <v>8.8557199083157512E-2</v>
          </cell>
          <cell r="W285" t="str">
            <v/>
          </cell>
          <cell r="X285">
            <v>8.2342719960870614E-4</v>
          </cell>
          <cell r="Y285">
            <v>1.821828632852851E-3</v>
          </cell>
          <cell r="Z285">
            <v>5.2274917330524806E-3</v>
          </cell>
          <cell r="AA285">
            <v>1.093902425339055E-2</v>
          </cell>
          <cell r="AB285" t="str">
            <v/>
          </cell>
          <cell r="AC285">
            <v>2.9255775658190264E-2</v>
          </cell>
          <cell r="AD285">
            <v>5.2388830169672551E-2</v>
          </cell>
          <cell r="AE285">
            <v>9.2828008996462041E-2</v>
          </cell>
        </row>
        <row r="286">
          <cell r="D286" t="str">
            <v>EUR</v>
          </cell>
          <cell r="N286" t="str">
            <v/>
          </cell>
          <cell r="O286">
            <v>5.8823230557913941E-4</v>
          </cell>
          <cell r="P286">
            <v>1.4188416515668045E-3</v>
          </cell>
          <cell r="Q286">
            <v>4.8720751068437318E-3</v>
          </cell>
          <cell r="R286">
            <v>9.2866124978218112E-3</v>
          </cell>
          <cell r="S286" t="str">
            <v/>
          </cell>
          <cell r="T286">
            <v>2.6173399538956255E-2</v>
          </cell>
          <cell r="U286">
            <v>4.8941354748073596E-2</v>
          </cell>
          <cell r="V286">
            <v>8.7108326374756628E-2</v>
          </cell>
          <cell r="W286" t="str">
            <v/>
          </cell>
          <cell r="X286">
            <v>7.0583630213449933E-4</v>
          </cell>
          <cell r="Y286">
            <v>1.6203554628971828E-3</v>
          </cell>
          <cell r="Z286">
            <v>5.2401141001492402E-3</v>
          </cell>
          <cell r="AA286">
            <v>9.8196585523828706E-3</v>
          </cell>
          <cell r="AB286" t="str">
            <v/>
          </cell>
          <cell r="AC286">
            <v>2.7450358945815601E-2</v>
          </cell>
          <cell r="AD286">
            <v>5.1327541220227868E-2</v>
          </cell>
          <cell r="AE286">
            <v>9.130332016713516E-2</v>
          </cell>
        </row>
        <row r="287">
          <cell r="D287" t="str">
            <v>EUR</v>
          </cell>
          <cell r="N287" t="str">
            <v/>
          </cell>
          <cell r="O287">
            <v>8.2342876691621214E-4</v>
          </cell>
          <cell r="P287">
            <v>1.6167208634250141E-3</v>
          </cell>
          <cell r="Q287">
            <v>4.8575337401989271E-3</v>
          </cell>
          <cell r="R287">
            <v>1.0967821178666237E-2</v>
          </cell>
          <cell r="S287" t="str">
            <v/>
          </cell>
          <cell r="T287">
            <v>2.968685097722612E-2</v>
          </cell>
          <cell r="U287">
            <v>4.9652563994517007E-2</v>
          </cell>
          <cell r="V287">
            <v>8.6442398773325047E-2</v>
          </cell>
          <cell r="W287" t="str">
            <v/>
          </cell>
          <cell r="X287">
            <v>9.4100424795140469E-4</v>
          </cell>
          <cell r="Y287">
            <v>1.8181813004158887E-3</v>
          </cell>
          <cell r="Z287">
            <v>5.2255253273290059E-3</v>
          </cell>
          <cell r="AA287">
            <v>1.1500274234566121E-2</v>
          </cell>
          <cell r="AB287" t="str">
            <v/>
          </cell>
          <cell r="AC287">
            <v>3.1149158528609888E-2</v>
          </cell>
          <cell r="AD287">
            <v>5.209321679049328E-2</v>
          </cell>
          <cell r="AE287">
            <v>9.0613224268349724E-2</v>
          </cell>
        </row>
        <row r="288">
          <cell r="D288" t="str">
            <v>USD</v>
          </cell>
          <cell r="N288" t="str">
            <v>IRS Curve missing</v>
          </cell>
          <cell r="O288" t="str">
            <v>IRS Curve missing</v>
          </cell>
          <cell r="P288" t="str">
            <v>IRS Curve missing</v>
          </cell>
          <cell r="Q288" t="str">
            <v>IRS Curve missing</v>
          </cell>
          <cell r="R288" t="str">
            <v>IRS Curve missing</v>
          </cell>
          <cell r="S288" t="str">
            <v>IRS Curve missing</v>
          </cell>
          <cell r="T288" t="str">
            <v>IRS Curve missing</v>
          </cell>
          <cell r="U288" t="str">
            <v>IRS Curve missing</v>
          </cell>
          <cell r="V288" t="str">
            <v>IRS Curve missing</v>
          </cell>
          <cell r="W288" t="str">
            <v>IRS Curve missing</v>
          </cell>
          <cell r="X288" t="str">
            <v>IRS Curve missing</v>
          </cell>
          <cell r="Y288" t="str">
            <v>IRS Curve missing</v>
          </cell>
          <cell r="Z288" t="str">
            <v>IRS Curve missing</v>
          </cell>
          <cell r="AA288" t="str">
            <v>IRS Curve missing</v>
          </cell>
          <cell r="AB288" t="str">
            <v>IRS Curve missing</v>
          </cell>
          <cell r="AC288" t="str">
            <v>IRS Curve missing</v>
          </cell>
          <cell r="AD288" t="str">
            <v>IRS Curve missing</v>
          </cell>
          <cell r="AE288" t="str">
            <v>IRS Curve missing</v>
          </cell>
        </row>
        <row r="289">
          <cell r="D289" t="str">
            <v>EUR</v>
          </cell>
          <cell r="N289" t="str">
            <v/>
          </cell>
          <cell r="O289">
            <v>8.2342876691621214E-4</v>
          </cell>
          <cell r="P289">
            <v>1.8218285837172665E-3</v>
          </cell>
          <cell r="Q289">
            <v>4.8467731924392021E-3</v>
          </cell>
          <cell r="R289">
            <v>9.8315375064832455E-3</v>
          </cell>
          <cell r="S289" t="str">
            <v/>
          </cell>
          <cell r="T289">
            <v>2.6064599916965747E-2</v>
          </cell>
          <cell r="U289">
            <v>4.481346221736604E-2</v>
          </cell>
          <cell r="V289">
            <v>7.783749086492886E-2</v>
          </cell>
          <cell r="W289" t="str">
            <v/>
          </cell>
          <cell r="X289">
            <v>9.4100424795140469E-4</v>
          </cell>
          <cell r="Y289">
            <v>2.0232613221308204E-3</v>
          </cell>
          <cell r="Z289">
            <v>5.2147267725027868E-3</v>
          </cell>
          <cell r="AA289">
            <v>1.0364335105939815E-2</v>
          </cell>
          <cell r="AB289" t="str">
            <v/>
          </cell>
          <cell r="AC289">
            <v>2.7341362892103649E-2</v>
          </cell>
          <cell r="AD289">
            <v>4.6998045361279273E-2</v>
          </cell>
          <cell r="AE289">
            <v>8.1600106941085659E-2</v>
          </cell>
        </row>
        <row r="290">
          <cell r="D290" t="str">
            <v>EUR</v>
          </cell>
          <cell r="N290" t="str">
            <v/>
          </cell>
          <cell r="O290">
            <v>7.0583742388907744E-4</v>
          </cell>
          <cell r="P290">
            <v>1.4152198693172524E-3</v>
          </cell>
          <cell r="Q290">
            <v>4.4894063326089695E-3</v>
          </cell>
          <cell r="R290">
            <v>9.8706094274730871E-3</v>
          </cell>
          <cell r="S290" t="str">
            <v/>
          </cell>
          <cell r="T290">
            <v>2.5154733686432174E-2</v>
          </cell>
          <cell r="U290">
            <v>4.3635267708081793E-2</v>
          </cell>
          <cell r="V290">
            <v>7.815301965448318E-2</v>
          </cell>
          <cell r="W290" t="str">
            <v/>
          </cell>
          <cell r="X290">
            <v>8.2342719960870614E-4</v>
          </cell>
          <cell r="Y290">
            <v>1.6167209125957926E-3</v>
          </cell>
          <cell r="Z290">
            <v>4.8575339699230557E-3</v>
          </cell>
          <cell r="AA290">
            <v>1.040353298454888E-2</v>
          </cell>
          <cell r="AB290" t="str">
            <v/>
          </cell>
          <cell r="AC290">
            <v>2.638577341576942E-2</v>
          </cell>
          <cell r="AD290">
            <v>4.5762685136851777E-2</v>
          </cell>
          <cell r="AE290">
            <v>8.192964486089882E-2</v>
          </cell>
        </row>
        <row r="291">
          <cell r="D291" t="str">
            <v>USD</v>
          </cell>
          <cell r="N291" t="str">
            <v>IRS Curve missing</v>
          </cell>
          <cell r="O291" t="str">
            <v>IRS Curve missing</v>
          </cell>
          <cell r="P291" t="str">
            <v>IRS Curve missing</v>
          </cell>
          <cell r="Q291" t="str">
            <v>IRS Curve missing</v>
          </cell>
          <cell r="R291" t="str">
            <v>IRS Curve missing</v>
          </cell>
          <cell r="S291" t="str">
            <v>IRS Curve missing</v>
          </cell>
          <cell r="T291" t="str">
            <v>IRS Curve missing</v>
          </cell>
          <cell r="U291" t="str">
            <v>IRS Curve missing</v>
          </cell>
          <cell r="V291" t="str">
            <v>IRS Curve missing</v>
          </cell>
          <cell r="W291" t="str">
            <v>IRS Curve missing</v>
          </cell>
          <cell r="X291" t="str">
            <v>IRS Curve missing</v>
          </cell>
          <cell r="Y291" t="str">
            <v>IRS Curve missing</v>
          </cell>
          <cell r="Z291" t="str">
            <v>IRS Curve missing</v>
          </cell>
          <cell r="AA291" t="str">
            <v>IRS Curve missing</v>
          </cell>
          <cell r="AB291" t="str">
            <v>IRS Curve missing</v>
          </cell>
          <cell r="AC291" t="str">
            <v>IRS Curve missing</v>
          </cell>
          <cell r="AD291" t="str">
            <v>IRS Curve missing</v>
          </cell>
          <cell r="AE291" t="str">
            <v>IRS Curve missing</v>
          </cell>
        </row>
        <row r="292">
          <cell r="D292" t="str">
            <v>EUR</v>
          </cell>
          <cell r="N292" t="str">
            <v/>
          </cell>
          <cell r="O292">
            <v>5.3402458774353123E-3</v>
          </cell>
          <cell r="P292">
            <v>1.1442577284638378E-2</v>
          </cell>
          <cell r="Q292">
            <v>2.9322740431260041E-2</v>
          </cell>
          <cell r="R292">
            <v>5.2480295536506238E-2</v>
          </cell>
          <cell r="S292" t="str">
            <v/>
          </cell>
          <cell r="T292">
            <v>0.10704829912234537</v>
          </cell>
          <cell r="U292">
            <v>0.1497436956447149</v>
          </cell>
          <cell r="V292">
            <v>0.21317690122346111</v>
          </cell>
          <cell r="W292" t="str">
            <v/>
          </cell>
          <cell r="X292">
            <v>5.6064194613227869E-3</v>
          </cell>
          <cell r="Y292">
            <v>1.201157626022975E-2</v>
          </cell>
          <cell r="Z292">
            <v>3.0770579561296363E-2</v>
          </cell>
          <cell r="AA292">
            <v>5.5047283556154181E-2</v>
          </cell>
          <cell r="AB292" t="str">
            <v/>
          </cell>
          <cell r="AC292">
            <v>0.11215763052270766</v>
          </cell>
          <cell r="AD292">
            <v>0.15669681102393851</v>
          </cell>
          <cell r="AE292">
            <v>0.22269283062839884</v>
          </cell>
        </row>
        <row r="293">
          <cell r="D293" t="str">
            <v>EUR</v>
          </cell>
          <cell r="N293" t="str">
            <v/>
          </cell>
          <cell r="O293">
            <v>1.1908129544474511E-3</v>
          </cell>
          <cell r="P293">
            <v>3.5317206595276707E-3</v>
          </cell>
          <cell r="Q293">
            <v>1.077486328266164E-2</v>
          </cell>
          <cell r="R293">
            <v>2.1820607849739937E-2</v>
          </cell>
          <cell r="S293" t="str">
            <v/>
          </cell>
          <cell r="T293">
            <v>4.7684443609287808E-2</v>
          </cell>
          <cell r="U293">
            <v>7.2647316610652712E-2</v>
          </cell>
          <cell r="V293">
            <v>0.10670857449507598</v>
          </cell>
          <cell r="W293" t="str">
            <v/>
          </cell>
          <cell r="X293">
            <v>1.2789611338758222E-3</v>
          </cell>
          <cell r="Y293">
            <v>3.7071549238550938E-3</v>
          </cell>
          <cell r="Z293">
            <v>1.1311594331910979E-2</v>
          </cell>
          <cell r="AA293">
            <v>2.2902325311945249E-2</v>
          </cell>
          <cell r="AB293" t="str">
            <v/>
          </cell>
          <cell r="AC293">
            <v>5.0024336047996054E-2</v>
          </cell>
          <cell r="AD293">
            <v>7.6166548596017569E-2</v>
          </cell>
          <cell r="AE293">
            <v>0.11178077759494665</v>
          </cell>
        </row>
        <row r="294">
          <cell r="D294" t="str">
            <v>EUR</v>
          </cell>
          <cell r="N294" t="str">
            <v/>
          </cell>
          <cell r="O294">
            <v>6.7055733490284375E-4</v>
          </cell>
          <cell r="P294">
            <v>2.5233247252822721E-3</v>
          </cell>
          <cell r="Q294">
            <v>7.2743690251495519E-3</v>
          </cell>
          <cell r="R294">
            <v>1.4573708600293722E-2</v>
          </cell>
          <cell r="S294" t="str">
            <v/>
          </cell>
          <cell r="T294">
            <v>3.5689008465109251E-2</v>
          </cell>
          <cell r="U294">
            <v>6.062707353289587E-2</v>
          </cell>
          <cell r="V294">
            <v>0.11056936043467502</v>
          </cell>
          <cell r="W294" t="str">
            <v/>
          </cell>
          <cell r="X294">
            <v>7.8815138458854239E-4</v>
          </cell>
          <cell r="Y294">
            <v>2.7246796965905151E-3</v>
          </cell>
          <cell r="Z294">
            <v>7.6415965891124538E-3</v>
          </cell>
          <cell r="AA294">
            <v>1.5292560124031795E-2</v>
          </cell>
          <cell r="AB294" t="str">
            <v/>
          </cell>
          <cell r="AC294">
            <v>3.7441381372949833E-2</v>
          </cell>
          <cell r="AD294">
            <v>6.3582916796199207E-2</v>
          </cell>
          <cell r="AE294">
            <v>0.11586163876168776</v>
          </cell>
        </row>
        <row r="295">
          <cell r="D295" t="str">
            <v>USD</v>
          </cell>
          <cell r="N295" t="str">
            <v/>
          </cell>
          <cell r="O295" t="str">
            <v/>
          </cell>
          <cell r="P295">
            <v>1.2987072106885877E-3</v>
          </cell>
          <cell r="Q295" t="str">
            <v/>
          </cell>
          <cell r="R295">
            <v>1.3387749100235657E-2</v>
          </cell>
          <cell r="S295" t="str">
            <v/>
          </cell>
          <cell r="T295">
            <v>2.9923147780582027E-2</v>
          </cell>
          <cell r="U295">
            <v>5.4695927926464494E-2</v>
          </cell>
          <cell r="V295">
            <v>9.4378136591054207E-2</v>
          </cell>
          <cell r="W295" t="str">
            <v/>
          </cell>
          <cell r="X295" t="str">
            <v/>
          </cell>
          <cell r="Y295">
            <v>1.5002101717112026E-3</v>
          </cell>
          <cell r="Z295" t="str">
            <v/>
          </cell>
          <cell r="AA295">
            <v>1.4038139513314118E-2</v>
          </cell>
          <cell r="AB295" t="str">
            <v/>
          </cell>
          <cell r="AC295">
            <v>3.1393097207592535E-2</v>
          </cell>
          <cell r="AD295">
            <v>5.7361278635626678E-2</v>
          </cell>
          <cell r="AE295">
            <v>9.8921798691581242E-2</v>
          </cell>
        </row>
        <row r="296">
          <cell r="D296" t="str">
            <v>USD</v>
          </cell>
          <cell r="N296" t="str">
            <v/>
          </cell>
          <cell r="O296" t="str">
            <v/>
          </cell>
          <cell r="P296">
            <v>1.2583998606884306E-3</v>
          </cell>
          <cell r="Q296" t="str">
            <v/>
          </cell>
          <cell r="R296">
            <v>1.156943101520036E-2</v>
          </cell>
          <cell r="S296" t="str">
            <v/>
          </cell>
          <cell r="T296">
            <v>2.3097204433489171E-2</v>
          </cell>
          <cell r="U296">
            <v>4.536659525329112E-2</v>
          </cell>
          <cell r="V296">
            <v>8.2244448706255135E-2</v>
          </cell>
          <cell r="W296" t="str">
            <v/>
          </cell>
          <cell r="X296" t="str">
            <v/>
          </cell>
          <cell r="Y296">
            <v>1.4599114172699768E-3</v>
          </cell>
          <cell r="Z296" t="str">
            <v/>
          </cell>
          <cell r="AA296">
            <v>1.2129479609795046E-2</v>
          </cell>
          <cell r="AB296" t="str">
            <v/>
          </cell>
          <cell r="AC296">
            <v>2.423192592925516E-2</v>
          </cell>
          <cell r="AD296">
            <v>4.7583320217393088E-2</v>
          </cell>
          <cell r="AE296">
            <v>8.6227828222165348E-2</v>
          </cell>
        </row>
        <row r="297">
          <cell r="D297" t="str">
            <v>USD</v>
          </cell>
          <cell r="N297" t="str">
            <v>IRS Curve missing</v>
          </cell>
          <cell r="O297" t="str">
            <v>IRS Curve missing</v>
          </cell>
          <cell r="P297" t="str">
            <v>IRS Curve missing</v>
          </cell>
          <cell r="Q297" t="str">
            <v>IRS Curve missing</v>
          </cell>
          <cell r="R297" t="str">
            <v>IRS Curve missing</v>
          </cell>
          <cell r="S297" t="str">
            <v>IRS Curve missing</v>
          </cell>
          <cell r="T297" t="str">
            <v>IRS Curve missing</v>
          </cell>
          <cell r="U297" t="str">
            <v>IRS Curve missing</v>
          </cell>
          <cell r="V297" t="str">
            <v>IRS Curve missing</v>
          </cell>
          <cell r="W297" t="str">
            <v>IRS Curve missing</v>
          </cell>
          <cell r="X297" t="str">
            <v>IRS Curve missing</v>
          </cell>
          <cell r="Y297" t="str">
            <v>IRS Curve missing</v>
          </cell>
          <cell r="Z297" t="str">
            <v>IRS Curve missing</v>
          </cell>
          <cell r="AA297" t="str">
            <v>IRS Curve missing</v>
          </cell>
          <cell r="AB297" t="str">
            <v>IRS Curve missing</v>
          </cell>
          <cell r="AC297" t="str">
            <v>IRS Curve missing</v>
          </cell>
          <cell r="AD297" t="str">
            <v>IRS Curve missing</v>
          </cell>
          <cell r="AE297" t="str">
            <v>IRS Curve missing</v>
          </cell>
        </row>
        <row r="298">
          <cell r="D298" t="str">
            <v>USD</v>
          </cell>
          <cell r="N298" t="str">
            <v/>
          </cell>
          <cell r="O298" t="str">
            <v/>
          </cell>
          <cell r="P298">
            <v>2.418606363132958E-3</v>
          </cell>
          <cell r="Q298" t="str">
            <v/>
          </cell>
          <cell r="R298">
            <v>1.0867860177012467E-2</v>
          </cell>
          <cell r="S298" t="str">
            <v/>
          </cell>
          <cell r="T298">
            <v>2.6878134161793965E-2</v>
          </cell>
          <cell r="U298">
            <v>5.020504347264787E-2</v>
          </cell>
          <cell r="V298">
            <v>9.9388944843031846E-2</v>
          </cell>
          <cell r="W298" t="str">
            <v/>
          </cell>
          <cell r="X298" t="str">
            <v/>
          </cell>
          <cell r="Y298">
            <v>2.6198641849348725E-3</v>
          </cell>
          <cell r="Z298" t="str">
            <v/>
          </cell>
          <cell r="AA298">
            <v>1.1399912592475525E-2</v>
          </cell>
          <cell r="AB298" t="str">
            <v/>
          </cell>
          <cell r="AC298">
            <v>2.82031212097833E-2</v>
          </cell>
          <cell r="AD298">
            <v>5.2661349414527825E-2</v>
          </cell>
          <cell r="AE298">
            <v>0.10418551860643799</v>
          </cell>
        </row>
        <row r="299">
          <cell r="D299" t="str">
            <v>USD</v>
          </cell>
          <cell r="N299" t="str">
            <v>IRS Curve missing</v>
          </cell>
          <cell r="O299" t="str">
            <v>IRS Curve missing</v>
          </cell>
          <cell r="P299" t="str">
            <v>IRS Curve missing</v>
          </cell>
          <cell r="Q299" t="str">
            <v>IRS Curve missing</v>
          </cell>
          <cell r="R299" t="str">
            <v>IRS Curve missing</v>
          </cell>
          <cell r="S299" t="str">
            <v>IRS Curve missing</v>
          </cell>
          <cell r="T299" t="str">
            <v>IRS Curve missing</v>
          </cell>
          <cell r="U299" t="str">
            <v>IRS Curve missing</v>
          </cell>
          <cell r="V299" t="str">
            <v>IRS Curve missing</v>
          </cell>
          <cell r="W299" t="str">
            <v>IRS Curve missing</v>
          </cell>
          <cell r="X299" t="str">
            <v>IRS Curve missing</v>
          </cell>
          <cell r="Y299" t="str">
            <v>IRS Curve missing</v>
          </cell>
          <cell r="Z299" t="str">
            <v>IRS Curve missing</v>
          </cell>
          <cell r="AA299" t="str">
            <v>IRS Curve missing</v>
          </cell>
          <cell r="AB299" t="str">
            <v>IRS Curve missing</v>
          </cell>
          <cell r="AC299" t="str">
            <v>IRS Curve missing</v>
          </cell>
          <cell r="AD299" t="str">
            <v>IRS Curve missing</v>
          </cell>
          <cell r="AE299" t="str">
            <v>IRS Curve missing</v>
          </cell>
        </row>
        <row r="300">
          <cell r="D300" t="str">
            <v>USD</v>
          </cell>
          <cell r="N300" t="str">
            <v>IRS Curve missing</v>
          </cell>
          <cell r="O300" t="str">
            <v>IRS Curve missing</v>
          </cell>
          <cell r="P300" t="str">
            <v>IRS Curve missing</v>
          </cell>
          <cell r="Q300" t="str">
            <v>IRS Curve missing</v>
          </cell>
          <cell r="R300" t="str">
            <v>IRS Curve missing</v>
          </cell>
          <cell r="S300" t="str">
            <v>IRS Curve missing</v>
          </cell>
          <cell r="T300" t="str">
            <v>IRS Curve missing</v>
          </cell>
          <cell r="U300" t="str">
            <v>IRS Curve missing</v>
          </cell>
          <cell r="V300" t="str">
            <v>IRS Curve missing</v>
          </cell>
          <cell r="W300" t="str">
            <v>IRS Curve missing</v>
          </cell>
          <cell r="X300" t="str">
            <v>IRS Curve missing</v>
          </cell>
          <cell r="Y300" t="str">
            <v>IRS Curve missing</v>
          </cell>
          <cell r="Z300" t="str">
            <v>IRS Curve missing</v>
          </cell>
          <cell r="AA300" t="str">
            <v>IRS Curve missing</v>
          </cell>
          <cell r="AB300" t="str">
            <v>IRS Curve missing</v>
          </cell>
          <cell r="AC300" t="str">
            <v>IRS Curve missing</v>
          </cell>
          <cell r="AD300" t="str">
            <v>IRS Curve missing</v>
          </cell>
          <cell r="AE300" t="str">
            <v>IRS Curve missing</v>
          </cell>
        </row>
        <row r="301">
          <cell r="D301" t="str">
            <v>EUR</v>
          </cell>
          <cell r="N301" t="str">
            <v/>
          </cell>
          <cell r="O301">
            <v>7.0583742388907744E-4</v>
          </cell>
          <cell r="P301">
            <v>1.2108584765612163E-3</v>
          </cell>
          <cell r="Q301">
            <v>4.4980428822751772E-3</v>
          </cell>
          <cell r="R301">
            <v>9.8768059276036491E-3</v>
          </cell>
          <cell r="S301" t="str">
            <v/>
          </cell>
          <cell r="T301">
            <v>2.6112586819173722E-2</v>
          </cell>
          <cell r="U301">
            <v>4.3523355702255517E-2</v>
          </cell>
          <cell r="V301">
            <v>8.0186083374209294E-2</v>
          </cell>
          <cell r="W301" t="str">
            <v/>
          </cell>
          <cell r="X301">
            <v>8.2342719960870614E-4</v>
          </cell>
          <cell r="Y301">
            <v>1.4123961831609133E-3</v>
          </cell>
          <cell r="Z301">
            <v>4.8662082932021677E-3</v>
          </cell>
          <cell r="AA301">
            <v>1.0409753065379612E-2</v>
          </cell>
          <cell r="AB301" t="str">
            <v/>
          </cell>
          <cell r="AC301">
            <v>2.7388332733006893E-2</v>
          </cell>
          <cell r="AD301">
            <v>4.5645087522733552E-2</v>
          </cell>
          <cell r="AE301">
            <v>8.4061081875949628E-2</v>
          </cell>
        </row>
        <row r="302">
          <cell r="D302" t="str">
            <v>USD</v>
          </cell>
          <cell r="N302" t="str">
            <v>IRS Curve missing</v>
          </cell>
          <cell r="O302" t="str">
            <v>IRS Curve missing</v>
          </cell>
          <cell r="P302" t="str">
            <v>IRS Curve missing</v>
          </cell>
          <cell r="Q302" t="str">
            <v>IRS Curve missing</v>
          </cell>
          <cell r="R302" t="str">
            <v>IRS Curve missing</v>
          </cell>
          <cell r="S302" t="str">
            <v>IRS Curve missing</v>
          </cell>
          <cell r="T302" t="str">
            <v>IRS Curve missing</v>
          </cell>
          <cell r="U302" t="str">
            <v>IRS Curve missing</v>
          </cell>
          <cell r="V302" t="str">
            <v>IRS Curve missing</v>
          </cell>
          <cell r="W302" t="str">
            <v>IRS Curve missing</v>
          </cell>
          <cell r="X302" t="str">
            <v>IRS Curve missing</v>
          </cell>
          <cell r="Y302" t="str">
            <v>IRS Curve missing</v>
          </cell>
          <cell r="Z302" t="str">
            <v>IRS Curve missing</v>
          </cell>
          <cell r="AA302" t="str">
            <v>IRS Curve missing</v>
          </cell>
          <cell r="AB302" t="str">
            <v>IRS Curve missing</v>
          </cell>
          <cell r="AC302" t="str">
            <v>IRS Curve missing</v>
          </cell>
          <cell r="AD302" t="str">
            <v>IRS Curve missing</v>
          </cell>
          <cell r="AE302" t="str">
            <v>IRS Curve missing</v>
          </cell>
        </row>
        <row r="303">
          <cell r="D303" t="str">
            <v>EUR</v>
          </cell>
          <cell r="N303" t="str">
            <v/>
          </cell>
          <cell r="O303">
            <v>5.8823230557913941E-4</v>
          </cell>
          <cell r="P303">
            <v>1.0092775173019541E-3</v>
          </cell>
          <cell r="Q303">
            <v>3.7496532589399445E-3</v>
          </cell>
          <cell r="R303">
            <v>8.235196994171301E-3</v>
          </cell>
          <cell r="S303" t="str">
            <v/>
          </cell>
          <cell r="T303">
            <v>2.3511021816254307E-2</v>
          </cell>
          <cell r="U303">
            <v>4.1338044053659928E-2</v>
          </cell>
          <cell r="V303">
            <v>7.1045152057749195E-2</v>
          </cell>
          <cell r="W303" t="str">
            <v/>
          </cell>
          <cell r="X303">
            <v>7.0583630213449933E-4</v>
          </cell>
          <cell r="Y303">
            <v>1.2108565538985205E-3</v>
          </cell>
          <cell r="Z303">
            <v>4.1180478663638276E-3</v>
          </cell>
          <cell r="AA303">
            <v>8.768869769026022E-3</v>
          </cell>
          <cell r="AB303" t="str">
            <v/>
          </cell>
          <cell r="AC303">
            <v>2.4648593879456615E-2</v>
          </cell>
          <cell r="AD303">
            <v>4.3348130675000651E-2</v>
          </cell>
          <cell r="AE303">
            <v>7.4470777636892027E-2</v>
          </cell>
        </row>
        <row r="304">
          <cell r="D304" t="str">
            <v>EUR</v>
          </cell>
          <cell r="N304" t="str">
            <v/>
          </cell>
          <cell r="O304">
            <v>4.7061340958476361E-4</v>
          </cell>
          <cell r="P304">
            <v>1.2172867430008116E-3</v>
          </cell>
          <cell r="Q304">
            <v>4.1230943714871682E-3</v>
          </cell>
          <cell r="R304">
            <v>7.6448978760804698E-3</v>
          </cell>
          <cell r="S304" t="str">
            <v/>
          </cell>
          <cell r="T304">
            <v>2.169402549227939E-2</v>
          </cell>
          <cell r="U304">
            <v>4.0237841810820796E-2</v>
          </cell>
          <cell r="V304">
            <v>7.3468674844032189E-2</v>
          </cell>
          <cell r="W304" t="str">
            <v/>
          </cell>
          <cell r="X304">
            <v>5.8823155392451199E-4</v>
          </cell>
          <cell r="Y304">
            <v>1.4188414855879072E-3</v>
          </cell>
          <cell r="Z304">
            <v>4.4913630143923466E-3</v>
          </cell>
          <cell r="AA304">
            <v>8.1786694198114906E-3</v>
          </cell>
          <cell r="AB304" t="str">
            <v/>
          </cell>
          <cell r="AC304">
            <v>2.2739973537908464E-2</v>
          </cell>
          <cell r="AD304">
            <v>4.2194775941482576E-2</v>
          </cell>
          <cell r="AE304">
            <v>7.7008829312246174E-2</v>
          </cell>
        </row>
        <row r="305">
          <cell r="D305" t="str">
            <v>USD</v>
          </cell>
          <cell r="N305" t="str">
            <v>IRS Curve missing</v>
          </cell>
          <cell r="O305" t="str">
            <v>IRS Curve missing</v>
          </cell>
          <cell r="P305" t="str">
            <v>IRS Curve missing</v>
          </cell>
          <cell r="Q305" t="str">
            <v>IRS Curve missing</v>
          </cell>
          <cell r="R305" t="str">
            <v>IRS Curve missing</v>
          </cell>
          <cell r="S305" t="str">
            <v>IRS Curve missing</v>
          </cell>
          <cell r="T305" t="str">
            <v>IRS Curve missing</v>
          </cell>
          <cell r="U305" t="str">
            <v>IRS Curve missing</v>
          </cell>
          <cell r="V305" t="str">
            <v>IRS Curve missing</v>
          </cell>
          <cell r="W305" t="str">
            <v>IRS Curve missing</v>
          </cell>
          <cell r="X305" t="str">
            <v>IRS Curve missing</v>
          </cell>
          <cell r="Y305" t="str">
            <v>IRS Curve missing</v>
          </cell>
          <cell r="Z305" t="str">
            <v>IRS Curve missing</v>
          </cell>
          <cell r="AA305" t="str">
            <v>IRS Curve missing</v>
          </cell>
          <cell r="AB305" t="str">
            <v>IRS Curve missing</v>
          </cell>
          <cell r="AC305" t="str">
            <v>IRS Curve missing</v>
          </cell>
          <cell r="AD305" t="str">
            <v>IRS Curve missing</v>
          </cell>
          <cell r="AE305" t="str">
            <v>IRS Curve missing</v>
          </cell>
        </row>
        <row r="306">
          <cell r="D306" t="str">
            <v>EUR</v>
          </cell>
          <cell r="N306" t="str">
            <v/>
          </cell>
          <cell r="O306">
            <v>4.7061340958476361E-4</v>
          </cell>
          <cell r="P306">
            <v>1.8325206103344538E-3</v>
          </cell>
          <cell r="Q306">
            <v>5.2267332050037751E-3</v>
          </cell>
          <cell r="R306">
            <v>9.2550798794751588E-3</v>
          </cell>
          <cell r="S306" t="str">
            <v/>
          </cell>
          <cell r="T306">
            <v>2.2381632505259486E-2</v>
          </cell>
          <cell r="U306">
            <v>3.5864247207541777E-2</v>
          </cell>
          <cell r="V306">
            <v>5.9898378843788458E-2</v>
          </cell>
          <cell r="W306" t="str">
            <v/>
          </cell>
          <cell r="X306">
            <v>5.8823155392451199E-4</v>
          </cell>
          <cell r="Y306">
            <v>2.0339921687133611E-3</v>
          </cell>
          <cell r="Z306">
            <v>5.594609537902473E-3</v>
          </cell>
          <cell r="AA306">
            <v>9.7880184419169014E-3</v>
          </cell>
          <cell r="AB306" t="str">
            <v/>
          </cell>
          <cell r="AC306">
            <v>2.3472566029238973E-2</v>
          </cell>
          <cell r="AD306">
            <v>3.7614251189173165E-2</v>
          </cell>
          <cell r="AE306">
            <v>6.2801051728235802E-2</v>
          </cell>
        </row>
        <row r="307">
          <cell r="D307" t="str">
            <v>EUR</v>
          </cell>
          <cell r="N307" t="str">
            <v/>
          </cell>
          <cell r="O307">
            <v>5.8823230557913941E-4</v>
          </cell>
          <cell r="P307">
            <v>1.4188416515668045E-3</v>
          </cell>
          <cell r="Q307">
            <v>4.1104573390305932E-3</v>
          </cell>
          <cell r="R307">
            <v>8.7650818374521711E-3</v>
          </cell>
          <cell r="S307" t="str">
            <v/>
          </cell>
          <cell r="T307">
            <v>2.0583078376538055E-2</v>
          </cell>
          <cell r="U307">
            <v>3.6205653292685658E-2</v>
          </cell>
          <cell r="V307">
            <v>6.6038478227618991E-2</v>
          </cell>
          <cell r="W307" t="str">
            <v/>
          </cell>
          <cell r="X307">
            <v>7.0583630213449933E-4</v>
          </cell>
          <cell r="Y307">
            <v>1.6203554628971828E-3</v>
          </cell>
          <cell r="Z307">
            <v>4.4786833056158493E-3</v>
          </cell>
          <cell r="AA307">
            <v>9.2984532235906858E-3</v>
          </cell>
          <cell r="AB307" t="str">
            <v/>
          </cell>
          <cell r="AC307">
            <v>2.1582662708471312E-2</v>
          </cell>
          <cell r="AD307">
            <v>3.7968843122891727E-2</v>
          </cell>
          <cell r="AE307">
            <v>6.9234528803700846E-2</v>
          </cell>
        </row>
        <row r="308">
          <cell r="D308" t="str">
            <v>EUR</v>
          </cell>
          <cell r="N308" t="str">
            <v/>
          </cell>
          <cell r="O308">
            <v>4.7061340958476361E-4</v>
          </cell>
          <cell r="P308">
            <v>1.0120957209085457E-3</v>
          </cell>
          <cell r="Q308">
            <v>3.3720572714528441E-3</v>
          </cell>
          <cell r="R308">
            <v>7.6948121318956009E-3</v>
          </cell>
          <cell r="S308" t="str">
            <v/>
          </cell>
          <cell r="T308">
            <v>1.8870263037939927E-2</v>
          </cell>
          <cell r="U308">
            <v>3.5211426579380256E-2</v>
          </cell>
          <cell r="V308">
            <v>6.0502405310022489E-2</v>
          </cell>
          <cell r="W308" t="str">
            <v/>
          </cell>
          <cell r="X308">
            <v>5.8823155392451199E-4</v>
          </cell>
          <cell r="Y308">
            <v>1.2136782015391701E-3</v>
          </cell>
          <cell r="Z308">
            <v>3.7405505500123226E-3</v>
          </cell>
          <cell r="AA308">
            <v>8.2287484708186698E-3</v>
          </cell>
          <cell r="AB308" t="str">
            <v/>
          </cell>
          <cell r="AC308">
            <v>1.97769229274809E-2</v>
          </cell>
          <cell r="AD308">
            <v>3.6920390309270301E-2</v>
          </cell>
          <cell r="AE308">
            <v>6.3423677194190176E-2</v>
          </cell>
        </row>
        <row r="309">
          <cell r="D309" t="str">
            <v>EUR</v>
          </cell>
          <cell r="N309" t="str">
            <v/>
          </cell>
          <cell r="O309">
            <v>5.8823230557913941E-4</v>
          </cell>
          <cell r="P309">
            <v>1.2136782726757112E-3</v>
          </cell>
          <cell r="Q309">
            <v>4.5015416184586154E-3</v>
          </cell>
          <cell r="R309">
            <v>8.7493051440935554E-3</v>
          </cell>
          <cell r="S309" t="str">
            <v/>
          </cell>
          <cell r="T309">
            <v>2.0610088901978907E-2</v>
          </cell>
          <cell r="U309">
            <v>3.3473665368464078E-2</v>
          </cell>
          <cell r="V309">
            <v>5.8604457265159837E-2</v>
          </cell>
          <cell r="W309" t="str">
            <v/>
          </cell>
          <cell r="X309">
            <v>7.0583630213449933E-4</v>
          </cell>
          <cell r="Y309">
            <v>1.4152199353631989E-3</v>
          </cell>
          <cell r="Z309">
            <v>4.8697119408149803E-3</v>
          </cell>
          <cell r="AA309">
            <v>9.282629509412943E-3</v>
          </cell>
          <cell r="AB309" t="str">
            <v/>
          </cell>
          <cell r="AC309">
            <v>2.1608500916757478E-2</v>
          </cell>
          <cell r="AD309">
            <v>3.5103491726639513E-2</v>
          </cell>
          <cell r="AE309">
            <v>6.1441391875898477E-2</v>
          </cell>
        </row>
        <row r="310">
          <cell r="D310" t="str">
            <v>EUR</v>
          </cell>
          <cell r="N310" t="str">
            <v/>
          </cell>
          <cell r="O310">
            <v>3.5298073341860636E-4</v>
          </cell>
          <cell r="P310">
            <v>1.0156915748593676E-3</v>
          </cell>
          <cell r="Q310">
            <v>3.373597070148171E-3</v>
          </cell>
          <cell r="R310">
            <v>7.132502399384677E-3</v>
          </cell>
          <cell r="S310" t="str">
            <v/>
          </cell>
          <cell r="T310">
            <v>1.8945925804614627E-2</v>
          </cell>
          <cell r="U310">
            <v>3.3892675729570776E-2</v>
          </cell>
          <cell r="V310">
            <v>6.0889340903988898E-2</v>
          </cell>
          <cell r="W310" t="str">
            <v/>
          </cell>
          <cell r="X310">
            <v>4.7061295331773945E-4</v>
          </cell>
          <cell r="Y310">
            <v>1.2172868200731601E-3</v>
          </cell>
          <cell r="Z310">
            <v>3.7420954075987334E-3</v>
          </cell>
          <cell r="AA310">
            <v>7.6666318262728073E-3</v>
          </cell>
          <cell r="AB310" t="str">
            <v/>
          </cell>
          <cell r="AC310">
            <v>1.9852644152935417E-2</v>
          </cell>
          <cell r="AD310">
            <v>3.5537007756944461E-2</v>
          </cell>
          <cell r="AE310">
            <v>6.3827684797867157E-2</v>
          </cell>
        </row>
      </sheetData>
      <sheetData sheetId="3" refreshError="1"/>
      <sheetData sheetId="4" refreshError="1">
        <row r="8">
          <cell r="C8">
            <v>0.3</v>
          </cell>
        </row>
      </sheetData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ventions"/>
      <sheetName val="IRS Strip"/>
      <sheetName val="CDS Strip"/>
      <sheetName val="CDS"/>
      <sheetName val="CDO2"/>
      <sheetName val="Forward Intensity"/>
    </sheetNames>
    <sheetDataSet>
      <sheetData sheetId="0" refreshError="1"/>
      <sheetData sheetId="1" refreshError="1"/>
      <sheetData sheetId="2">
        <row r="12">
          <cell r="D12" t="str">
            <v>EUR</v>
          </cell>
          <cell r="N12" t="str">
            <v/>
          </cell>
          <cell r="O12">
            <v>1.2097732365761171E-3</v>
          </cell>
          <cell r="P12">
            <v>3.4934285216857708E-3</v>
          </cell>
          <cell r="Q12">
            <v>8.9211308332199923E-3</v>
          </cell>
          <cell r="R12">
            <v>1.6196450816232111E-2</v>
          </cell>
          <cell r="S12" t="str">
            <v/>
          </cell>
          <cell r="T12">
            <v>3.4053120580619822E-2</v>
          </cell>
          <cell r="U12">
            <v>5.2090780118823843E-2</v>
          </cell>
          <cell r="V12">
            <v>8.0512767402816099E-2</v>
          </cell>
          <cell r="W12" t="str">
            <v/>
          </cell>
          <cell r="X12">
            <v>1.2930022875429215E-3</v>
          </cell>
          <cell r="Y12">
            <v>3.6594991106708719E-3</v>
          </cell>
          <cell r="Z12">
            <v>9.350505305327772E-3</v>
          </cell>
          <cell r="AA12">
            <v>1.700081578627799E-2</v>
          </cell>
          <cell r="AB12" t="str">
            <v/>
          </cell>
          <cell r="AC12">
            <v>3.5728528299768025E-2</v>
          </cell>
          <cell r="AD12">
            <v>5.4632579463672171E-2</v>
          </cell>
          <cell r="AE12">
            <v>8.4378634611709136E-2</v>
          </cell>
        </row>
        <row r="13">
          <cell r="D13" t="str">
            <v>EUR</v>
          </cell>
          <cell r="N13" t="str">
            <v/>
          </cell>
          <cell r="O13">
            <v>7.2785822158416558E-4</v>
          </cell>
          <cell r="P13">
            <v>1.9210954044108774E-3</v>
          </cell>
          <cell r="Q13">
            <v>5.5063578023649695E-3</v>
          </cell>
          <cell r="R13">
            <v>1.1884705436899679E-2</v>
          </cell>
          <cell r="S13" t="str">
            <v/>
          </cell>
          <cell r="T13">
            <v>3.1089687978344327E-2</v>
          </cell>
          <cell r="U13">
            <v>5.1774222307277906E-2</v>
          </cell>
          <cell r="V13">
            <v>9.1178802467290487E-2</v>
          </cell>
          <cell r="W13" t="str">
            <v/>
          </cell>
          <cell r="X13">
            <v>8.1112743046984903E-4</v>
          </cell>
          <cell r="Y13">
            <v>2.0874280270694046E-3</v>
          </cell>
          <cell r="Z13">
            <v>5.8378004395733818E-3</v>
          </cell>
          <cell r="AA13">
            <v>1.2452708414755431E-2</v>
          </cell>
          <cell r="AB13" t="str">
            <v/>
          </cell>
          <cell r="AC13">
            <v>3.2617367422235199E-2</v>
          </cell>
          <cell r="AD13">
            <v>5.4300816242691785E-2</v>
          </cell>
          <cell r="AE13">
            <v>9.5543962728230514E-2</v>
          </cell>
        </row>
        <row r="14">
          <cell r="D14" t="str">
            <v>EUR</v>
          </cell>
          <cell r="N14" t="str">
            <v/>
          </cell>
          <cell r="O14">
            <v>5.4594323121426314E-4</v>
          </cell>
          <cell r="P14">
            <v>1.7494169585348107E-3</v>
          </cell>
          <cell r="Q14">
            <v>6.214556435516827E-3</v>
          </cell>
          <cell r="R14">
            <v>1.3980901535377011E-2</v>
          </cell>
          <cell r="S14" t="str">
            <v/>
          </cell>
          <cell r="T14">
            <v>3.4461686778176404E-2</v>
          </cell>
          <cell r="U14">
            <v>6.1506914708782556E-2</v>
          </cell>
          <cell r="V14">
            <v>0.10612486553264233</v>
          </cell>
          <cell r="W14" t="str">
            <v/>
          </cell>
          <cell r="X14">
            <v>6.2922759904748826E-4</v>
          </cell>
          <cell r="Y14">
            <v>1.9157781918792693E-3</v>
          </cell>
          <cell r="Z14">
            <v>6.5457630458530813E-3</v>
          </cell>
          <cell r="AA14">
            <v>1.4670548097620029E-2</v>
          </cell>
          <cell r="AB14" t="str">
            <v/>
          </cell>
          <cell r="AC14">
            <v>3.615287547154078E-2</v>
          </cell>
          <cell r="AD14">
            <v>6.4498009477011786E-2</v>
          </cell>
          <cell r="AE14">
            <v>0.11120347820496479</v>
          </cell>
        </row>
        <row r="15">
          <cell r="D15" t="str">
            <v>EUR</v>
          </cell>
          <cell r="N15" t="str">
            <v/>
          </cell>
          <cell r="O15">
            <v>1.1461373716102896E-3</v>
          </cell>
          <cell r="P15">
            <v>3.0902962713841298E-3</v>
          </cell>
          <cell r="Q15">
            <v>8.241348134218951E-3</v>
          </cell>
          <cell r="R15">
            <v>1.4925721179537832E-2</v>
          </cell>
          <cell r="S15" t="str">
            <v/>
          </cell>
          <cell r="T15">
            <v>3.2430433068463715E-2</v>
          </cell>
          <cell r="U15">
            <v>5.0629438006189909E-2</v>
          </cell>
          <cell r="V15">
            <v>7.7295869470929035E-2</v>
          </cell>
          <cell r="W15" t="str">
            <v/>
          </cell>
          <cell r="X15">
            <v>1.2293717253490932E-3</v>
          </cell>
          <cell r="Y15">
            <v>3.2564340434825256E-3</v>
          </cell>
          <cell r="Z15">
            <v>8.6379722648687318E-3</v>
          </cell>
          <cell r="AA15">
            <v>1.5666538051201662E-2</v>
          </cell>
          <cell r="AB15" t="str">
            <v/>
          </cell>
          <cell r="AC15">
            <v>3.4026637141478022E-2</v>
          </cell>
          <cell r="AD15">
            <v>5.3101846440223976E-2</v>
          </cell>
          <cell r="AE15">
            <v>8.1013501695818779E-2</v>
          </cell>
        </row>
        <row r="16">
          <cell r="D16" t="str">
            <v>EUR</v>
          </cell>
          <cell r="N16" t="str">
            <v/>
          </cell>
          <cell r="O16">
            <v>4.5497334759936336E-4</v>
          </cell>
          <cell r="P16">
            <v>1.0468631450375465E-3</v>
          </cell>
          <cell r="Q16">
            <v>3.7988489935746328E-3</v>
          </cell>
          <cell r="R16">
            <v>7.7611056355625374E-3</v>
          </cell>
          <cell r="S16" t="str">
            <v/>
          </cell>
          <cell r="T16">
            <v>2.1713136515577047E-2</v>
          </cell>
          <cell r="U16">
            <v>3.9000479896582285E-2</v>
          </cell>
          <cell r="V16">
            <v>6.7881677795304185E-2</v>
          </cell>
          <cell r="W16" t="str">
            <v/>
          </cell>
          <cell r="X16">
            <v>5.3826529594969141E-4</v>
          </cell>
          <cell r="Y16">
            <v>1.2133414609432069E-3</v>
          </cell>
          <cell r="Z16">
            <v>4.13086070555857E-3</v>
          </cell>
          <cell r="AA16">
            <v>8.2571010735466022E-3</v>
          </cell>
          <cell r="AB16" t="str">
            <v/>
          </cell>
          <cell r="AC16">
            <v>2.2767050791879684E-2</v>
          </cell>
          <cell r="AD16">
            <v>4.0897940335740235E-2</v>
          </cell>
          <cell r="AE16">
            <v>7.1152571050652536E-2</v>
          </cell>
        </row>
        <row r="17">
          <cell r="D17" t="str">
            <v>EUR</v>
          </cell>
          <cell r="N17" t="str">
            <v/>
          </cell>
          <cell r="O17">
            <v>1.1188636202652535E-3</v>
          </cell>
          <cell r="P17">
            <v>2.7741662475643247E-3</v>
          </cell>
          <cell r="Q17">
            <v>7.5918644557023685E-3</v>
          </cell>
          <cell r="R17">
            <v>1.2907033210865393E-2</v>
          </cell>
          <cell r="S17" t="str">
            <v/>
          </cell>
          <cell r="T17">
            <v>2.7295782486677189E-2</v>
          </cell>
          <cell r="U17">
            <v>4.3258282847865592E-2</v>
          </cell>
          <cell r="V17">
            <v>6.9632461847284E-2</v>
          </cell>
          <cell r="W17" t="str">
            <v/>
          </cell>
          <cell r="X17">
            <v>1.2021002467269559E-3</v>
          </cell>
          <cell r="Y17">
            <v>2.9403567036020428E-3</v>
          </cell>
          <cell r="Z17">
            <v>7.9573341408427645E-3</v>
          </cell>
          <cell r="AA17">
            <v>1.3547368722276798E-2</v>
          </cell>
          <cell r="AB17" t="str">
            <v/>
          </cell>
          <cell r="AC17">
            <v>2.8641522474605607E-2</v>
          </cell>
          <cell r="AD17">
            <v>4.5377135060839624E-2</v>
          </cell>
          <cell r="AE17">
            <v>7.2996392495283891E-2</v>
          </cell>
        </row>
        <row r="18">
          <cell r="D18" t="str">
            <v>EUR</v>
          </cell>
          <cell r="N18" t="str">
            <v/>
          </cell>
          <cell r="O18">
            <v>4.5497334759936336E-4</v>
          </cell>
          <cell r="P18">
            <v>2.4561942082753641E-3</v>
          </cell>
          <cell r="Q18">
            <v>8.2825480497696891E-3</v>
          </cell>
          <cell r="R18">
            <v>1.8085997102995632E-2</v>
          </cell>
          <cell r="S18" t="str">
            <v/>
          </cell>
          <cell r="T18">
            <v>4.9041704443203771E-2</v>
          </cell>
          <cell r="U18">
            <v>8.3623600334491788E-2</v>
          </cell>
          <cell r="V18">
            <v>0.14321779911119348</v>
          </cell>
          <cell r="W18" t="str">
            <v/>
          </cell>
          <cell r="X18">
            <v>5.3826529594969141E-4</v>
          </cell>
          <cell r="Y18">
            <v>2.6224376552265172E-3</v>
          </cell>
          <cell r="Z18">
            <v>8.6791557037404488E-3</v>
          </cell>
          <cell r="AA18">
            <v>1.8981238719376847E-2</v>
          </cell>
          <cell r="AB18" t="str">
            <v/>
          </cell>
          <cell r="AC18">
            <v>5.1438336565219123E-2</v>
          </cell>
          <cell r="AD18">
            <v>8.7655936359025466E-2</v>
          </cell>
          <cell r="AE18">
            <v>0.14996599619556295</v>
          </cell>
        </row>
        <row r="19">
          <cell r="D19" t="str">
            <v>EUR</v>
          </cell>
          <cell r="N19" t="str">
            <v/>
          </cell>
          <cell r="O19">
            <v>1.1825012181198025E-3</v>
          </cell>
          <cell r="P19">
            <v>2.4381160183138961E-3</v>
          </cell>
          <cell r="Q19">
            <v>8.9601608943382649E-3</v>
          </cell>
          <cell r="R19">
            <v>1.6975721373186259E-2</v>
          </cell>
          <cell r="S19" t="str">
            <v/>
          </cell>
          <cell r="T19">
            <v>4.4657137065839958E-2</v>
          </cell>
          <cell r="U19">
            <v>7.9070414531581479E-2</v>
          </cell>
          <cell r="V19">
            <v>0.13342519450121804</v>
          </cell>
          <cell r="W19" t="str">
            <v/>
          </cell>
          <cell r="X19">
            <v>1.2657325416649545E-3</v>
          </cell>
          <cell r="Y19">
            <v>2.6043624780491825E-3</v>
          </cell>
          <cell r="Z19">
            <v>9.3895184570955692E-3</v>
          </cell>
          <cell r="AA19">
            <v>1.7816864427046331E-2</v>
          </cell>
          <cell r="AB19" t="str">
            <v/>
          </cell>
          <cell r="AC19">
            <v>4.6843746953628917E-2</v>
          </cell>
          <cell r="AD19">
            <v>8.2891759760151618E-2</v>
          </cell>
          <cell r="AE19">
            <v>0.13973747288659033</v>
          </cell>
        </row>
        <row r="20">
          <cell r="D20" t="str">
            <v>EUR</v>
          </cell>
          <cell r="N20" t="str">
            <v/>
          </cell>
          <cell r="O20">
            <v>2.7300879781333443E-4</v>
          </cell>
          <cell r="P20">
            <v>1.0512575945389457E-3</v>
          </cell>
          <cell r="Q20">
            <v>3.8033174080542853E-3</v>
          </cell>
          <cell r="R20">
            <v>8.296604741187541E-3</v>
          </cell>
          <cell r="S20" t="str">
            <v/>
          </cell>
          <cell r="T20">
            <v>1.9889630927399815E-2</v>
          </cell>
          <cell r="U20">
            <v>3.3945530667263246E-2</v>
          </cell>
          <cell r="V20">
            <v>6.4893521841106194E-2</v>
          </cell>
          <cell r="W20" t="str">
            <v/>
          </cell>
          <cell r="X20">
            <v>3.5631590924090073E-4</v>
          </cell>
          <cell r="Y20">
            <v>1.2177351780808809E-3</v>
          </cell>
          <cell r="Z20">
            <v>4.1353276307973807E-3</v>
          </cell>
          <cell r="AA20">
            <v>8.7923324965399896E-3</v>
          </cell>
          <cell r="AB20" t="str">
            <v/>
          </cell>
          <cell r="AC20">
            <v>2.0855656446274073E-2</v>
          </cell>
          <cell r="AD20">
            <v>3.5598659454389336E-2</v>
          </cell>
          <cell r="AE20">
            <v>6.8025652863848651E-2</v>
          </cell>
        </row>
        <row r="21">
          <cell r="D21" t="str">
            <v>EUR</v>
          </cell>
          <cell r="N21" t="str">
            <v/>
          </cell>
          <cell r="O21">
            <v>1.0824974631862272E-3</v>
          </cell>
          <cell r="P21">
            <v>2.493416445884078E-3</v>
          </cell>
          <cell r="Q21">
            <v>6.557700622374818E-3</v>
          </cell>
          <cell r="R21">
            <v>1.1909312629609925E-2</v>
          </cell>
          <cell r="S21" t="str">
            <v/>
          </cell>
          <cell r="T21">
            <v>2.6545793718598443E-2</v>
          </cell>
          <cell r="U21">
            <v>4.1938858161149728E-2</v>
          </cell>
          <cell r="V21">
            <v>6.6243512406457983E-2</v>
          </cell>
          <cell r="W21" t="str">
            <v/>
          </cell>
          <cell r="X21">
            <v>1.1657371200340938E-3</v>
          </cell>
          <cell r="Y21">
            <v>2.6596536896519307E-3</v>
          </cell>
          <cell r="Z21">
            <v>6.8887928703894596E-3</v>
          </cell>
          <cell r="AA21">
            <v>1.2482239063538403E-2</v>
          </cell>
          <cell r="AB21" t="str">
            <v/>
          </cell>
          <cell r="AC21">
            <v>2.7855245434884046E-2</v>
          </cell>
          <cell r="AD21">
            <v>4.3994788213444935E-2</v>
          </cell>
          <cell r="AE21">
            <v>6.9449006217710663E-2</v>
          </cell>
        </row>
        <row r="22">
          <cell r="D22" t="str">
            <v>EUR</v>
          </cell>
          <cell r="N22" t="str">
            <v/>
          </cell>
          <cell r="O22">
            <v>1.137046203671388E-3</v>
          </cell>
          <cell r="P22">
            <v>2.8441185373755395E-3</v>
          </cell>
          <cell r="Q22">
            <v>7.7630010863392052E-3</v>
          </cell>
          <cell r="R22">
            <v>1.3530582594944662E-2</v>
          </cell>
          <cell r="S22" t="str">
            <v/>
          </cell>
          <cell r="T22">
            <v>2.9016649226020763E-2</v>
          </cell>
          <cell r="U22">
            <v>4.5856898240887012E-2</v>
          </cell>
          <cell r="V22">
            <v>7.2821770400505303E-2</v>
          </cell>
          <cell r="W22" t="str">
            <v/>
          </cell>
          <cell r="X22">
            <v>1.2202813149703173E-3</v>
          </cell>
          <cell r="Y22">
            <v>3.0102973356620488E-3</v>
          </cell>
          <cell r="Z22">
            <v>8.1366733098922062E-3</v>
          </cell>
          <cell r="AA22">
            <v>1.4201937924953834E-2</v>
          </cell>
          <cell r="AB22" t="str">
            <v/>
          </cell>
          <cell r="AC22">
            <v>3.0446431562482501E-2</v>
          </cell>
          <cell r="AD22">
            <v>4.8100716167969071E-2</v>
          </cell>
          <cell r="AE22">
            <v>7.6333876797122446E-2</v>
          </cell>
        </row>
        <row r="23">
          <cell r="D23" t="str">
            <v>EUR</v>
          </cell>
          <cell r="N23" t="str">
            <v/>
          </cell>
          <cell r="O23">
            <v>9.5520551445549273E-4</v>
          </cell>
          <cell r="P23">
            <v>3.5878740301338308E-3</v>
          </cell>
          <cell r="Q23">
            <v>1.0698319493405717E-2</v>
          </cell>
          <cell r="R23">
            <v>1.8910036694558485E-2</v>
          </cell>
          <cell r="S23" t="str">
            <v/>
          </cell>
          <cell r="T23">
            <v>3.8180048292045909E-2</v>
          </cell>
          <cell r="U23">
            <v>5.9659800888807291E-2</v>
          </cell>
          <cell r="V23">
            <v>9.2770080262687848E-2</v>
          </cell>
          <cell r="W23" t="str">
            <v/>
          </cell>
          <cell r="X23">
            <v>1.038455778510472E-3</v>
          </cell>
          <cell r="Y23">
            <v>3.7580798961506234E-3</v>
          </cell>
          <cell r="Z23">
            <v>1.1230047344652383E-2</v>
          </cell>
          <cell r="AA23">
            <v>1.984703014033018E-2</v>
          </cell>
          <cell r="AB23" t="str">
            <v/>
          </cell>
          <cell r="AC23">
            <v>4.0053252551105145E-2</v>
          </cell>
          <cell r="AD23">
            <v>6.2559278223453196E-2</v>
          </cell>
          <cell r="AE23">
            <v>9.719555714039485E-2</v>
          </cell>
        </row>
        <row r="24">
          <cell r="D24" t="str">
            <v>EUR</v>
          </cell>
          <cell r="N24" t="str">
            <v/>
          </cell>
          <cell r="O24">
            <v>1.4006565747575195E-3</v>
          </cell>
          <cell r="P24">
            <v>4.1218672635487952E-3</v>
          </cell>
          <cell r="Q24">
            <v>1.0562228928115092E-2</v>
          </cell>
          <cell r="R24">
            <v>1.7247463864810464E-2</v>
          </cell>
          <cell r="S24" t="str">
            <v/>
          </cell>
          <cell r="T24">
            <v>3.3852379699911728E-2</v>
          </cell>
          <cell r="U24">
            <v>5.1890504811482274E-2</v>
          </cell>
          <cell r="V24">
            <v>8.4116972780619692E-2</v>
          </cell>
          <cell r="W24" t="str">
            <v/>
          </cell>
          <cell r="X24">
            <v>1.4838697194510253E-3</v>
          </cell>
          <cell r="Y24">
            <v>4.3177040384045906E-3</v>
          </cell>
          <cell r="Z24">
            <v>1.1070009975640338E-2</v>
          </cell>
          <cell r="AA24">
            <v>1.8103705963551597E-2</v>
          </cell>
          <cell r="AB24" t="str">
            <v/>
          </cell>
          <cell r="AC24">
            <v>3.5517419355730384E-2</v>
          </cell>
          <cell r="AD24">
            <v>5.4421564325961347E-2</v>
          </cell>
          <cell r="AE24">
            <v>8.814962898695522E-2</v>
          </cell>
        </row>
        <row r="25">
          <cell r="D25" t="str">
            <v>EUR</v>
          </cell>
          <cell r="N25" t="str">
            <v/>
          </cell>
          <cell r="O25">
            <v>4.5497334759936336E-4</v>
          </cell>
          <cell r="P25">
            <v>1.0468631450375465E-3</v>
          </cell>
          <cell r="Q25">
            <v>2.7510313672685083E-3</v>
          </cell>
          <cell r="R25">
            <v>6.2156561456440107E-3</v>
          </cell>
          <cell r="S25" t="str">
            <v/>
          </cell>
          <cell r="T25">
            <v>1.6502694702977383E-2</v>
          </cell>
          <cell r="U25">
            <v>2.9291035412695177E-2</v>
          </cell>
          <cell r="V25">
            <v>5.4564818457260245E-2</v>
          </cell>
          <cell r="W25" t="str">
            <v/>
          </cell>
          <cell r="X25">
            <v>5.3826529594969141E-4</v>
          </cell>
          <cell r="Y25">
            <v>1.2133414609432069E-3</v>
          </cell>
          <cell r="Z25">
            <v>3.083392293561138E-3</v>
          </cell>
          <cell r="AA25">
            <v>6.7124241152325403E-3</v>
          </cell>
          <cell r="AB25" t="str">
            <v/>
          </cell>
          <cell r="AC25">
            <v>1.7321934393446203E-2</v>
          </cell>
          <cell r="AD25">
            <v>3.0705536920233256E-2</v>
          </cell>
          <cell r="AE25">
            <v>5.7195760214440949E-2</v>
          </cell>
        </row>
        <row r="26">
          <cell r="D26" t="str">
            <v>EUR</v>
          </cell>
          <cell r="N26" t="str">
            <v/>
          </cell>
          <cell r="O26">
            <v>2.7300879781333443E-4</v>
          </cell>
          <cell r="P26">
            <v>1.5799139583937416E-3</v>
          </cell>
          <cell r="Q26">
            <v>5.181191906571736E-3</v>
          </cell>
          <cell r="R26">
            <v>1.0335094455867666E-2</v>
          </cell>
          <cell r="S26" t="str">
            <v/>
          </cell>
          <cell r="T26">
            <v>2.8579320199637603E-2</v>
          </cell>
          <cell r="U26">
            <v>4.9638757637926911E-2</v>
          </cell>
          <cell r="V26">
            <v>9.0073953234885984E-2</v>
          </cell>
          <cell r="W26" t="str">
            <v/>
          </cell>
          <cell r="X26">
            <v>3.5631590924090073E-4</v>
          </cell>
          <cell r="Y26">
            <v>1.7463034398864652E-3</v>
          </cell>
          <cell r="Z26">
            <v>5.5127429143683182E-3</v>
          </cell>
          <cell r="AA26">
            <v>1.0829803221134582E-2</v>
          </cell>
          <cell r="AB26" t="str">
            <v/>
          </cell>
          <cell r="AC26">
            <v>2.9982493989267889E-2</v>
          </cell>
          <cell r="AD26">
            <v>5.2061957979781526E-2</v>
          </cell>
          <cell r="AE26">
            <v>9.4414966949036505E-2</v>
          </cell>
        </row>
        <row r="27">
          <cell r="D27" t="str">
            <v>EUR</v>
          </cell>
          <cell r="N27" t="str">
            <v/>
          </cell>
          <cell r="O27">
            <v>5.4594323121426314E-4</v>
          </cell>
          <cell r="P27">
            <v>1.0446661685874492E-3</v>
          </cell>
          <cell r="Q27">
            <v>3.7966149877642907E-3</v>
          </cell>
          <cell r="R27">
            <v>7.7588442933870239E-3</v>
          </cell>
          <cell r="S27" t="str">
            <v/>
          </cell>
          <cell r="T27">
            <v>2.1710810665616753E-2</v>
          </cell>
          <cell r="U27">
            <v>4.0297902755733972E-2</v>
          </cell>
          <cell r="V27">
            <v>7.5390231460192747E-2</v>
          </cell>
          <cell r="W27" t="str">
            <v/>
          </cell>
          <cell r="X27">
            <v>6.2922759904748826E-4</v>
          </cell>
          <cell r="Y27">
            <v>1.2111448506226807E-3</v>
          </cell>
          <cell r="Z27">
            <v>4.1286274442705606E-3</v>
          </cell>
          <cell r="AA27">
            <v>8.2548408617612035E-3</v>
          </cell>
          <cell r="AB27" t="str">
            <v/>
          </cell>
          <cell r="AC27">
            <v>2.2764715670153812E-2</v>
          </cell>
          <cell r="AD27">
            <v>4.2258548471097557E-2</v>
          </cell>
          <cell r="AE27">
            <v>7.9015292556477212E-2</v>
          </cell>
        </row>
        <row r="28">
          <cell r="D28" t="str">
            <v>EUR</v>
          </cell>
          <cell r="N28" t="str">
            <v/>
          </cell>
          <cell r="O28">
            <v>1.0279457517016199E-3</v>
          </cell>
          <cell r="P28">
            <v>3.1988711607446874E-3</v>
          </cell>
          <cell r="Q28">
            <v>9.0410761394333905E-3</v>
          </cell>
          <cell r="R28">
            <v>1.4833127198884855E-2</v>
          </cell>
          <cell r="S28" t="str">
            <v/>
          </cell>
          <cell r="T28">
            <v>2.7951370792482E-2</v>
          </cell>
          <cell r="U28">
            <v>4.3189572854932079E-2</v>
          </cell>
          <cell r="V28">
            <v>6.9270557320612935E-2</v>
          </cell>
          <cell r="W28" t="str">
            <v/>
          </cell>
          <cell r="X28">
            <v>1.1111899543241321E-3</v>
          </cell>
          <cell r="Y28">
            <v>3.3649908385338101E-3</v>
          </cell>
          <cell r="Z28">
            <v>9.4753512821403874E-3</v>
          </cell>
          <cell r="AA28">
            <v>1.5569332680694936E-2</v>
          </cell>
          <cell r="AB28" t="str">
            <v/>
          </cell>
          <cell r="AC28">
            <v>2.9329064053555176E-2</v>
          </cell>
          <cell r="AD28">
            <v>4.5304032986384524E-2</v>
          </cell>
          <cell r="AE28">
            <v>7.2615688399075617E-2</v>
          </cell>
        </row>
        <row r="29">
          <cell r="D29" t="str">
            <v>EUR</v>
          </cell>
          <cell r="N29" t="str">
            <v/>
          </cell>
          <cell r="O29">
            <v>6.3690485549472431E-4</v>
          </cell>
          <cell r="P29">
            <v>1.3948581478229194E-3</v>
          </cell>
          <cell r="Q29">
            <v>4.8293652543733856E-3</v>
          </cell>
          <cell r="R29">
            <v>9.8182156257848874E-3</v>
          </cell>
          <cell r="S29" t="str">
            <v/>
          </cell>
          <cell r="T29">
            <v>2.6849378312817529E-2</v>
          </cell>
          <cell r="U29">
            <v>4.7294561605297991E-2</v>
          </cell>
          <cell r="V29">
            <v>9.2591327935122036E-2</v>
          </cell>
          <cell r="W29" t="str">
            <v/>
          </cell>
          <cell r="X29">
            <v>7.2018164349907376E-4</v>
          </cell>
          <cell r="Y29">
            <v>1.5612784693798121E-3</v>
          </cell>
          <cell r="Z29">
            <v>5.1610335181753175E-3</v>
          </cell>
          <cell r="AA29">
            <v>1.031318276586024E-2</v>
          </cell>
          <cell r="AB29" t="str">
            <v/>
          </cell>
          <cell r="AC29">
            <v>2.816548842760036E-2</v>
          </cell>
          <cell r="AD29">
            <v>4.9602707886440056E-2</v>
          </cell>
          <cell r="AE29">
            <v>9.7054667301305519E-2</v>
          </cell>
        </row>
        <row r="30">
          <cell r="D30" t="str">
            <v>EUR</v>
          </cell>
          <cell r="N30" t="str">
            <v/>
          </cell>
          <cell r="O30">
            <v>4.5497334759936336E-4</v>
          </cell>
          <cell r="P30">
            <v>1.3992836384263407E-3</v>
          </cell>
          <cell r="Q30">
            <v>4.1358284162490433E-3</v>
          </cell>
          <cell r="R30">
            <v>8.2635274722652197E-3</v>
          </cell>
          <cell r="S30" t="str">
            <v/>
          </cell>
          <cell r="T30">
            <v>2.2539472720640163E-2</v>
          </cell>
          <cell r="U30">
            <v>3.883933690179997E-2</v>
          </cell>
          <cell r="V30">
            <v>6.1942140614012375E-2</v>
          </cell>
          <cell r="W30" t="str">
            <v/>
          </cell>
          <cell r="X30">
            <v>5.3826529594969141E-4</v>
          </cell>
          <cell r="Y30">
            <v>1.5657032224634104E-3</v>
          </cell>
          <cell r="Z30">
            <v>4.4677278204747761E-3</v>
          </cell>
          <cell r="AA30">
            <v>8.7592717621126637E-3</v>
          </cell>
          <cell r="AB30" t="str">
            <v/>
          </cell>
          <cell r="AC30">
            <v>2.3637127424469107E-2</v>
          </cell>
          <cell r="AD30">
            <v>4.0731755235325351E-2</v>
          </cell>
          <cell r="AE30">
            <v>6.4933475420183795E-2</v>
          </cell>
        </row>
        <row r="31">
          <cell r="D31" t="str">
            <v>EUR</v>
          </cell>
          <cell r="N31" t="str">
            <v/>
          </cell>
          <cell r="O31">
            <v>5.8232887199149985E-4</v>
          </cell>
          <cell r="P31">
            <v>2.0655813650071186E-3</v>
          </cell>
          <cell r="Q31">
            <v>5.7142961046711127E-3</v>
          </cell>
          <cell r="R31">
            <v>1.0866563658184614E-2</v>
          </cell>
          <cell r="S31" t="str">
            <v/>
          </cell>
          <cell r="T31">
            <v>2.5807962989541355E-2</v>
          </cell>
          <cell r="U31">
            <v>4.3352180177922861E-2</v>
          </cell>
          <cell r="V31">
            <v>6.4407512212216522E-2</v>
          </cell>
          <cell r="W31" t="str">
            <v/>
          </cell>
          <cell r="X31">
            <v>6.656102078149706E-4</v>
          </cell>
          <cell r="Y31">
            <v>2.2318899086841704E-3</v>
          </cell>
          <cell r="Z31">
            <v>6.0456694406660905E-3</v>
          </cell>
          <cell r="AA31">
            <v>1.1388193953755787E-2</v>
          </cell>
          <cell r="AB31" t="str">
            <v/>
          </cell>
          <cell r="AC31">
            <v>2.7078048829710211E-2</v>
          </cell>
          <cell r="AD31">
            <v>4.547412568912379E-2</v>
          </cell>
          <cell r="AE31">
            <v>6.7523628278057579E-2</v>
          </cell>
        </row>
        <row r="32">
          <cell r="D32" t="str">
            <v>EUR</v>
          </cell>
          <cell r="N32" t="str">
            <v/>
          </cell>
          <cell r="O32">
            <v>1.0006687817649684E-3</v>
          </cell>
          <cell r="P32">
            <v>2.7947261130725209E-3</v>
          </cell>
          <cell r="Q32">
            <v>7.2111077393919309E-3</v>
          </cell>
          <cell r="R32">
            <v>1.5467238879111833E-2</v>
          </cell>
          <cell r="S32" t="str">
            <v/>
          </cell>
          <cell r="T32">
            <v>3.3348910436248769E-2</v>
          </cell>
          <cell r="U32">
            <v>5.4944225160039606E-2</v>
          </cell>
          <cell r="V32">
            <v>9.7482385614446887E-2</v>
          </cell>
          <cell r="W32" t="str">
            <v/>
          </cell>
          <cell r="X32">
            <v>1.0839152573786093E-3</v>
          </cell>
          <cell r="Y32">
            <v>2.9609131427482671E-3</v>
          </cell>
          <cell r="Z32">
            <v>7.5585230504505718E-3</v>
          </cell>
          <cell r="AA32">
            <v>1.6234277091737748E-2</v>
          </cell>
          <cell r="AB32" t="str">
            <v/>
          </cell>
          <cell r="AC32">
            <v>3.4989302908546072E-2</v>
          </cell>
          <cell r="AD32">
            <v>5.7623328968287701E-2</v>
          </cell>
          <cell r="AE32">
            <v>0.10216407859452792</v>
          </cell>
        </row>
        <row r="33">
          <cell r="D33" t="str">
            <v>EUR</v>
          </cell>
          <cell r="N33" t="str">
            <v/>
          </cell>
          <cell r="O33">
            <v>7.0966820896456451E-4</v>
          </cell>
          <cell r="P33">
            <v>2.3970392244803129E-3</v>
          </cell>
          <cell r="Q33">
            <v>7.9296522055524177E-3</v>
          </cell>
          <cell r="R33">
            <v>1.38688765300925E-2</v>
          </cell>
          <cell r="S33" t="str">
            <v/>
          </cell>
          <cell r="T33">
            <v>2.8124372732021508E-2</v>
          </cell>
          <cell r="U33">
            <v>4.4009015483154168E-2</v>
          </cell>
          <cell r="V33">
            <v>6.7436704849241802E-2</v>
          </cell>
          <cell r="W33" t="str">
            <v/>
          </cell>
          <cell r="X33">
            <v>7.9293893361020995E-4</v>
          </cell>
          <cell r="Y33">
            <v>2.5632925297894849E-3</v>
          </cell>
          <cell r="Z33">
            <v>8.3098729585614484E-3</v>
          </cell>
          <cell r="AA33">
            <v>1.4555732590385562E-2</v>
          </cell>
          <cell r="AB33" t="str">
            <v/>
          </cell>
          <cell r="AC33">
            <v>2.9509268173051328E-2</v>
          </cell>
          <cell r="AD33">
            <v>4.6162283054634323E-2</v>
          </cell>
          <cell r="AE33">
            <v>7.069433145298909E-2</v>
          </cell>
        </row>
        <row r="34">
          <cell r="D34" t="str">
            <v>EUR</v>
          </cell>
          <cell r="N34" t="str">
            <v/>
          </cell>
          <cell r="O34">
            <v>4.5497334759936336E-4</v>
          </cell>
          <cell r="P34">
            <v>1.5754719486696933E-3</v>
          </cell>
          <cell r="Q34">
            <v>5.525520950825924E-3</v>
          </cell>
          <cell r="R34">
            <v>1.2434173717397634E-2</v>
          </cell>
          <cell r="S34" t="str">
            <v/>
          </cell>
          <cell r="T34">
            <v>3.1069977814155214E-2</v>
          </cell>
          <cell r="U34">
            <v>5.5624245067170675E-2</v>
          </cell>
          <cell r="V34">
            <v>0.10006135867923516</v>
          </cell>
          <cell r="W34" t="str">
            <v/>
          </cell>
          <cell r="X34">
            <v>5.3826529594969141E-4</v>
          </cell>
          <cell r="Y34">
            <v>1.7418621704494708E-3</v>
          </cell>
          <cell r="Z34">
            <v>5.8569572014125493E-3</v>
          </cell>
          <cell r="AA34">
            <v>1.3045227367390777E-2</v>
          </cell>
          <cell r="AB34" t="str">
            <v/>
          </cell>
          <cell r="AC34">
            <v>3.2594471728871977E-2</v>
          </cell>
          <cell r="AD34">
            <v>5.8333714624984712E-2</v>
          </cell>
          <cell r="AE34">
            <v>0.10486500847187663</v>
          </cell>
        </row>
        <row r="35">
          <cell r="D35" t="str">
            <v>EUR</v>
          </cell>
          <cell r="N35" t="str">
            <v/>
          </cell>
          <cell r="O35">
            <v>1.0461299856532325E-3</v>
          </cell>
          <cell r="P35">
            <v>3.1632134609318463E-3</v>
          </cell>
          <cell r="Q35">
            <v>9.6333708743353563E-3</v>
          </cell>
          <cell r="R35">
            <v>1.7974371832573444E-2</v>
          </cell>
          <cell r="S35" t="str">
            <v/>
          </cell>
          <cell r="T35">
            <v>3.9210781126717165E-2</v>
          </cell>
          <cell r="U35">
            <v>6.1631576143808986E-2</v>
          </cell>
          <cell r="V35">
            <v>9.5374207524688837E-2</v>
          </cell>
          <cell r="W35" t="str">
            <v/>
          </cell>
          <cell r="X35">
            <v>1.1293726729973974E-3</v>
          </cell>
          <cell r="Y35">
            <v>3.3293390811747203E-3</v>
          </cell>
          <cell r="Z35">
            <v>1.0095434144791526E-2</v>
          </cell>
          <cell r="AA35">
            <v>1.8865817303261312E-2</v>
          </cell>
          <cell r="AB35" t="str">
            <v/>
          </cell>
          <cell r="AC35">
            <v>4.1135004707086309E-2</v>
          </cell>
          <cell r="AD35">
            <v>6.462660081609406E-2</v>
          </cell>
          <cell r="AE35">
            <v>9.992030998266932E-2</v>
          </cell>
        </row>
        <row r="36">
          <cell r="D36" t="str">
            <v>EUR</v>
          </cell>
          <cell r="N36" t="str">
            <v/>
          </cell>
          <cell r="O36">
            <v>4.5497334759936336E-4</v>
          </cell>
          <cell r="P36">
            <v>1.22308070448085E-3</v>
          </cell>
          <cell r="Q36">
            <v>3.7927823407388761E-3</v>
          </cell>
          <cell r="R36">
            <v>8.2859042324988641E-3</v>
          </cell>
          <cell r="S36" t="str">
            <v/>
          </cell>
          <cell r="T36">
            <v>1.9878731060564148E-2</v>
          </cell>
          <cell r="U36">
            <v>3.5236478943504235E-2</v>
          </cell>
          <cell r="V36">
            <v>6.4703833634608743E-2</v>
          </cell>
          <cell r="W36" t="str">
            <v/>
          </cell>
          <cell r="X36">
            <v>5.3826529594969141E-4</v>
          </cell>
          <cell r="Y36">
            <v>1.3895296532399071E-3</v>
          </cell>
          <cell r="Z36">
            <v>4.124796074582493E-3</v>
          </cell>
          <cell r="AA36">
            <v>8.7816373367883838E-3</v>
          </cell>
          <cell r="AB36" t="str">
            <v/>
          </cell>
          <cell r="AC36">
            <v>2.084471629135054E-2</v>
          </cell>
          <cell r="AD36">
            <v>3.6953075360384835E-2</v>
          </cell>
          <cell r="AE36">
            <v>6.7827522129052076E-2</v>
          </cell>
        </row>
        <row r="37">
          <cell r="D37" t="str">
            <v>EUR</v>
          </cell>
          <cell r="N37" t="str">
            <v/>
          </cell>
          <cell r="O37">
            <v>8.1880333056005838E-4</v>
          </cell>
          <cell r="P37">
            <v>3.8552962201567897E-3</v>
          </cell>
          <cell r="Q37">
            <v>1.1352557429629706E-2</v>
          </cell>
          <cell r="R37">
            <v>2.3139978930085126E-2</v>
          </cell>
          <cell r="S37" t="str">
            <v/>
          </cell>
          <cell r="T37">
            <v>5.8046686224654032E-2</v>
          </cell>
          <cell r="U37">
            <v>9.951996128383811E-2</v>
          </cell>
          <cell r="V37">
            <v>0.16794297561895999</v>
          </cell>
          <cell r="W37" t="str">
            <v/>
          </cell>
          <cell r="X37">
            <v>9.0206496099309863E-4</v>
          </cell>
          <cell r="Y37">
            <v>4.0379060094440922E-3</v>
          </cell>
          <cell r="Z37">
            <v>1.1916540730114944E-2</v>
          </cell>
          <cell r="AA37">
            <v>2.4285142542896931E-2</v>
          </cell>
          <cell r="AB37" t="str">
            <v/>
          </cell>
          <cell r="AC37">
            <v>6.0871854647292278E-2</v>
          </cell>
          <cell r="AD37">
            <v>0.10428314252574489</v>
          </cell>
          <cell r="AE37">
            <v>0.17576377808950894</v>
          </cell>
        </row>
        <row r="38">
          <cell r="D38" t="str">
            <v>EUR</v>
          </cell>
          <cell r="N38" t="str">
            <v/>
          </cell>
          <cell r="O38">
            <v>4.5497334759936336E-4</v>
          </cell>
          <cell r="P38">
            <v>1.0468631450375465E-3</v>
          </cell>
          <cell r="Q38">
            <v>4.1480051453959277E-3</v>
          </cell>
          <cell r="R38">
            <v>8.2758480360302089E-3</v>
          </cell>
          <cell r="S38" t="str">
            <v/>
          </cell>
          <cell r="T38">
            <v>1.9868489015620661E-2</v>
          </cell>
          <cell r="U38">
            <v>3.2621847597286258E-2</v>
          </cell>
          <cell r="V38">
            <v>5.7323262221941729E-2</v>
          </cell>
          <cell r="W38" t="str">
            <v/>
          </cell>
          <cell r="X38">
            <v>5.3826529594969141E-4</v>
          </cell>
          <cell r="Y38">
            <v>1.2133414609432069E-3</v>
          </cell>
          <cell r="Z38">
            <v>4.4799004913916862E-3</v>
          </cell>
          <cell r="AA38">
            <v>8.7715861671472384E-3</v>
          </cell>
          <cell r="AB38" t="str">
            <v/>
          </cell>
          <cell r="AC38">
            <v>2.083443770740312E-2</v>
          </cell>
          <cell r="AD38">
            <v>3.4211302515329001E-2</v>
          </cell>
          <cell r="AE38">
            <v>6.0096335129151357E-2</v>
          </cell>
        </row>
        <row r="39">
          <cell r="D39" t="str">
            <v>EUR</v>
          </cell>
          <cell r="N39" t="str">
            <v/>
          </cell>
          <cell r="O39">
            <v>9.0974018358735975E-4</v>
          </cell>
          <cell r="P39">
            <v>2.2688184468088179E-3</v>
          </cell>
          <cell r="Q39">
            <v>7.9289656868778424E-3</v>
          </cell>
          <cell r="R39">
            <v>1.7569404102357966E-2</v>
          </cell>
          <cell r="S39" t="str">
            <v/>
          </cell>
          <cell r="T39">
            <v>4.3800100845637679E-2</v>
          </cell>
          <cell r="U39">
            <v>7.7924378492666757E-2</v>
          </cell>
          <cell r="V39">
            <v>0.12817193182544928</v>
          </cell>
          <cell r="W39" t="str">
            <v/>
          </cell>
          <cell r="X39">
            <v>9.9299423627774441E-4</v>
          </cell>
          <cell r="Y39">
            <v>2.4350931204583093E-3</v>
          </cell>
          <cell r="Z39">
            <v>8.3091867030128386E-3</v>
          </cell>
          <cell r="AA39">
            <v>1.8439389113530491E-2</v>
          </cell>
          <cell r="AB39" t="str">
            <v/>
          </cell>
          <cell r="AC39">
            <v>4.5945087615335112E-2</v>
          </cell>
          <cell r="AD39">
            <v>8.1691386767981267E-2</v>
          </cell>
          <cell r="AE39">
            <v>0.13424305991243224</v>
          </cell>
        </row>
        <row r="40">
          <cell r="D40" t="str">
            <v>EUR</v>
          </cell>
          <cell r="N40" t="str">
            <v/>
          </cell>
          <cell r="O40">
            <v>1.7368863343264485E-3</v>
          </cell>
          <cell r="P40">
            <v>3.796665556997092E-3</v>
          </cell>
          <cell r="Q40">
            <v>9.9741272488907962E-3</v>
          </cell>
          <cell r="R40">
            <v>1.7807357394513113E-2</v>
          </cell>
          <cell r="S40" t="str">
            <v/>
          </cell>
          <cell r="T40">
            <v>3.6501573356131356E-2</v>
          </cell>
          <cell r="U40">
            <v>5.6094513963189763E-2</v>
          </cell>
          <cell r="V40">
            <v>8.5082667437420101E-2</v>
          </cell>
          <cell r="W40" t="str">
            <v/>
          </cell>
          <cell r="X40">
            <v>1.8200714610301372E-3</v>
          </cell>
          <cell r="Y40">
            <v>3.9776260583517242E-3</v>
          </cell>
          <cell r="Z40">
            <v>1.0454173376568399E-2</v>
          </cell>
          <cell r="AA40">
            <v>1.8691785719074261E-2</v>
          </cell>
          <cell r="AB40" t="str">
            <v/>
          </cell>
          <cell r="AC40">
            <v>3.8295701213610256E-2</v>
          </cell>
          <cell r="AD40">
            <v>5.8826710095371548E-2</v>
          </cell>
          <cell r="AE40">
            <v>8.9157122626988494E-2</v>
          </cell>
        </row>
        <row r="41">
          <cell r="D41" t="str">
            <v>EUR</v>
          </cell>
          <cell r="N41" t="str">
            <v/>
          </cell>
          <cell r="O41">
            <v>3.6399520350638426E-4</v>
          </cell>
          <cell r="P41">
            <v>1.2252857733764388E-3</v>
          </cell>
          <cell r="Q41">
            <v>4.14415820314884E-3</v>
          </cell>
          <cell r="R41">
            <v>9.8640896694566216E-3</v>
          </cell>
          <cell r="S41" t="str">
            <v/>
          </cell>
          <cell r="T41">
            <v>2.4218797781871082E-2</v>
          </cell>
          <cell r="U41">
            <v>4.3737137337015008E-2</v>
          </cell>
          <cell r="V41">
            <v>7.6304917747906598E-2</v>
          </cell>
          <cell r="W41" t="str">
            <v/>
          </cell>
          <cell r="X41">
            <v>4.4729473304006007E-4</v>
          </cell>
          <cell r="Y41">
            <v>1.3917343546390182E-3</v>
          </cell>
          <cell r="Z41">
            <v>4.4760548312168247E-3</v>
          </cell>
          <cell r="AA41">
            <v>1.0359033878251878E-2</v>
          </cell>
          <cell r="AB41" t="str">
            <v/>
          </cell>
          <cell r="AC41">
            <v>2.5404044300488704E-2</v>
          </cell>
          <cell r="AD41">
            <v>4.5871713486373311E-2</v>
          </cell>
          <cell r="AE41">
            <v>7.9978146717757936E-2</v>
          </cell>
        </row>
        <row r="42">
          <cell r="D42" t="str">
            <v>EUR</v>
          </cell>
          <cell r="N42" t="str">
            <v/>
          </cell>
          <cell r="O42">
            <v>8.1880333056005838E-4</v>
          </cell>
          <cell r="P42">
            <v>3.1513418086189793E-3</v>
          </cell>
          <cell r="Q42">
            <v>1.2073836081437195E-2</v>
          </cell>
          <cell r="R42">
            <v>2.1023894173628044E-2</v>
          </cell>
          <cell r="S42" t="str">
            <v/>
          </cell>
          <cell r="T42">
            <v>5.0307695747634162E-2</v>
          </cell>
          <cell r="U42">
            <v>8.5454729082509173E-2</v>
          </cell>
          <cell r="V42">
            <v>0.1421159909823666</v>
          </cell>
          <cell r="W42" t="str">
            <v/>
          </cell>
          <cell r="X42">
            <v>9.0206496099309863E-4</v>
          </cell>
          <cell r="Y42">
            <v>3.3174694073021538E-3</v>
          </cell>
          <cell r="Z42">
            <v>1.2672965363681787E-2</v>
          </cell>
          <cell r="AA42">
            <v>2.2064079220928678E-2</v>
          </cell>
          <cell r="AB42" t="str">
            <v/>
          </cell>
          <cell r="AC42">
            <v>5.2763099044438433E-2</v>
          </cell>
          <cell r="AD42">
            <v>8.9567298695792386E-2</v>
          </cell>
          <cell r="AE42">
            <v>0.14880095065230736</v>
          </cell>
        </row>
        <row r="43">
          <cell r="D43" t="str">
            <v>EUR</v>
          </cell>
          <cell r="N43" t="str">
            <v/>
          </cell>
          <cell r="O43">
            <v>3.0030558705684829E-4</v>
          </cell>
          <cell r="P43">
            <v>1.596866988454515E-3</v>
          </cell>
          <cell r="Q43">
            <v>5.6682974491331084E-3</v>
          </cell>
          <cell r="R43">
            <v>1.1264968708774803E-2</v>
          </cell>
          <cell r="S43" t="str">
            <v/>
          </cell>
          <cell r="T43">
            <v>2.5808507296589012E-2</v>
          </cell>
          <cell r="U43">
            <v>4.1408979658676071E-2</v>
          </cell>
          <cell r="V43">
            <v>6.4675554956267312E-2</v>
          </cell>
          <cell r="W43" t="str">
            <v/>
          </cell>
          <cell r="X43">
            <v>3.836104238418292E-4</v>
          </cell>
          <cell r="Y43">
            <v>1.7632536446817726E-3</v>
          </cell>
          <cell r="Z43">
            <v>5.9996861154508752E-3</v>
          </cell>
          <cell r="AA43">
            <v>1.1803682487969591E-2</v>
          </cell>
          <cell r="AB43" t="str">
            <v/>
          </cell>
          <cell r="AC43">
            <v>2.7077422473698931E-2</v>
          </cell>
          <cell r="AD43">
            <v>4.3435303815706816E-2</v>
          </cell>
          <cell r="AE43">
            <v>6.7803475265220681E-2</v>
          </cell>
        </row>
        <row r="44">
          <cell r="D44" t="str">
            <v>EUR</v>
          </cell>
          <cell r="N44" t="str">
            <v/>
          </cell>
          <cell r="O44">
            <v>7.5514262122422515E-4</v>
          </cell>
          <cell r="P44">
            <v>3.0825353567680569E-3</v>
          </cell>
          <cell r="Q44">
            <v>9.7485177859601979E-3</v>
          </cell>
          <cell r="R44">
            <v>1.8032952842390038E-2</v>
          </cell>
          <cell r="S44" t="str">
            <v/>
          </cell>
          <cell r="T44">
            <v>4.0981178403409424E-2</v>
          </cell>
          <cell r="U44">
            <v>6.2719439644113195E-2</v>
          </cell>
          <cell r="V44">
            <v>9.499816934762717E-2</v>
          </cell>
          <cell r="W44" t="str">
            <v/>
          </cell>
          <cell r="X44">
            <v>8.384095564997196E-4</v>
          </cell>
          <cell r="Y44">
            <v>3.2486744222285369E-3</v>
          </cell>
          <cell r="Z44">
            <v>1.0215476268697343E-2</v>
          </cell>
          <cell r="AA44">
            <v>1.8926800156382151E-2</v>
          </cell>
          <cell r="AB44" t="str">
            <v/>
          </cell>
          <cell r="AC44">
            <v>4.2990491991359181E-2</v>
          </cell>
          <cell r="AD44">
            <v>6.5765055488747781E-2</v>
          </cell>
          <cell r="AE44">
            <v>9.9524153163218831E-2</v>
          </cell>
        </row>
        <row r="45">
          <cell r="D45" t="str">
            <v>EUR</v>
          </cell>
          <cell r="N45" t="str">
            <v/>
          </cell>
          <cell r="O45">
            <v>1.091589126235637E-3</v>
          </cell>
          <cell r="P45">
            <v>2.4403751962409626E-3</v>
          </cell>
          <cell r="Q45">
            <v>6.1759743229057307E-3</v>
          </cell>
          <cell r="R45">
            <v>1.182331345228449E-2</v>
          </cell>
          <cell r="S45" t="str">
            <v/>
          </cell>
          <cell r="T45">
            <v>2.3006925330789962E-2</v>
          </cell>
          <cell r="U45">
            <v>3.9615615112190361E-2</v>
          </cell>
          <cell r="V45">
            <v>7.0858973190475516E-2</v>
          </cell>
          <cell r="W45" t="str">
            <v/>
          </cell>
          <cell r="X45">
            <v>1.1748280254821886E-3</v>
          </cell>
          <cell r="Y45">
            <v>2.6066212794906285E-3</v>
          </cell>
          <cell r="Z45">
            <v>6.5071937918369516E-3</v>
          </cell>
          <cell r="AA45">
            <v>1.2391351720379862E-2</v>
          </cell>
          <cell r="AB45" t="str">
            <v/>
          </cell>
          <cell r="AC45">
            <v>2.4142098903175979E-2</v>
          </cell>
          <cell r="AD45">
            <v>4.155896419709193E-2</v>
          </cell>
          <cell r="AE45">
            <v>7.4284813520103188E-2</v>
          </cell>
        </row>
        <row r="46">
          <cell r="D46" t="str">
            <v>EUR</v>
          </cell>
          <cell r="N46" t="str">
            <v/>
          </cell>
          <cell r="O46">
            <v>3.6399520350638426E-4</v>
          </cell>
          <cell r="P46">
            <v>1.5776928696848991E-3</v>
          </cell>
          <cell r="Q46">
            <v>4.8300036012460801E-3</v>
          </cell>
          <cell r="R46">
            <v>9.2884024454689129E-3</v>
          </cell>
          <cell r="S46" t="str">
            <v/>
          </cell>
          <cell r="T46">
            <v>2.3318205393211722E-2</v>
          </cell>
          <cell r="U46">
            <v>4.1227922052438193E-2</v>
          </cell>
          <cell r="V46">
            <v>7.0995920051109107E-2</v>
          </cell>
          <cell r="W46" t="str">
            <v/>
          </cell>
          <cell r="X46">
            <v>4.4729473304006007E-4</v>
          </cell>
          <cell r="Y46">
            <v>1.7440827213339727E-3</v>
          </cell>
          <cell r="Z46">
            <v>5.161671652306743E-3</v>
          </cell>
          <cell r="AA46">
            <v>9.7836344259344399E-3</v>
          </cell>
          <cell r="AB46" t="str">
            <v/>
          </cell>
          <cell r="AC46">
            <v>2.4459491485208651E-2</v>
          </cell>
          <cell r="AD46">
            <v>4.3241309958970908E-2</v>
          </cell>
          <cell r="AE46">
            <v>7.4420355272975192E-2</v>
          </cell>
        </row>
        <row r="47">
          <cell r="D47" t="str">
            <v>EUR</v>
          </cell>
          <cell r="N47" t="str">
            <v/>
          </cell>
          <cell r="O47">
            <v>1.6823702585243572E-3</v>
          </cell>
          <cell r="P47">
            <v>3.6045727340642264E-3</v>
          </cell>
          <cell r="Q47">
            <v>9.634907095922185E-3</v>
          </cell>
          <cell r="R47">
            <v>1.6671781665576368E-2</v>
          </cell>
          <cell r="S47" t="str">
            <v/>
          </cell>
          <cell r="T47">
            <v>3.4845552987327388E-2</v>
          </cell>
          <cell r="U47">
            <v>5.4474159079863083E-2</v>
          </cell>
          <cell r="V47">
            <v>8.376227017791249E-2</v>
          </cell>
          <cell r="W47" t="str">
            <v/>
          </cell>
          <cell r="X47">
            <v>1.7655599280550494E-3</v>
          </cell>
          <cell r="Y47">
            <v>3.7764361216300335E-3</v>
          </cell>
          <cell r="Z47">
            <v>1.0098619486633931E-2</v>
          </cell>
          <cell r="AA47">
            <v>1.7500104353354362E-2</v>
          </cell>
          <cell r="AB47" t="str">
            <v/>
          </cell>
          <cell r="AC47">
            <v>3.6559669790598881E-2</v>
          </cell>
          <cell r="AD47">
            <v>5.7130193277003749E-2</v>
          </cell>
          <cell r="AE47">
            <v>8.7778327178414051E-2</v>
          </cell>
        </row>
        <row r="48">
          <cell r="D48" t="str">
            <v>EUR</v>
          </cell>
          <cell r="N48" t="str">
            <v/>
          </cell>
          <cell r="O48">
            <v>4.5497334759936336E-4</v>
          </cell>
          <cell r="P48">
            <v>1.22308070448085E-3</v>
          </cell>
          <cell r="Q48">
            <v>3.7927823407388761E-3</v>
          </cell>
          <cell r="R48">
            <v>7.7549655934833206E-3</v>
          </cell>
          <cell r="S48" t="str">
            <v/>
          </cell>
          <cell r="T48">
            <v>2.0812092459711939E-2</v>
          </cell>
          <cell r="U48">
            <v>3.7785960948203301E-2</v>
          </cell>
          <cell r="V48">
            <v>7.00726223555318E-2</v>
          </cell>
          <cell r="W48" t="str">
            <v/>
          </cell>
          <cell r="X48">
            <v>5.3826529594969141E-4</v>
          </cell>
          <cell r="Y48">
            <v>1.3895296532399071E-3</v>
          </cell>
          <cell r="Z48">
            <v>4.124796074582493E-3</v>
          </cell>
          <cell r="AA48">
            <v>8.2509641007361134E-3</v>
          </cell>
          <cell r="AB48" t="str">
            <v/>
          </cell>
          <cell r="AC48">
            <v>2.1822062752955174E-2</v>
          </cell>
          <cell r="AD48">
            <v>3.9624826189818441E-2</v>
          </cell>
          <cell r="AE48">
            <v>7.3448030243814966E-2</v>
          </cell>
        </row>
        <row r="49">
          <cell r="D49" t="str">
            <v>EUR</v>
          </cell>
          <cell r="N49" t="str">
            <v/>
          </cell>
          <cell r="O49">
            <v>1.0006687817649684E-3</v>
          </cell>
          <cell r="P49">
            <v>2.7947261130725209E-3</v>
          </cell>
          <cell r="Q49">
            <v>6.8627399723123483E-3</v>
          </cell>
          <cell r="R49">
            <v>1.4426279597449798E-2</v>
          </cell>
          <cell r="S49" t="str">
            <v/>
          </cell>
          <cell r="T49">
            <v>3.3446830042253239E-2</v>
          </cell>
          <cell r="U49">
            <v>5.5042694798059455E-2</v>
          </cell>
          <cell r="V49">
            <v>9.5689283925012969E-2</v>
          </cell>
          <cell r="W49" t="str">
            <v/>
          </cell>
          <cell r="X49">
            <v>1.0839152573786093E-3</v>
          </cell>
          <cell r="Y49">
            <v>2.9609131427482671E-3</v>
          </cell>
          <cell r="Z49">
            <v>7.1937305574995003E-3</v>
          </cell>
          <cell r="AA49">
            <v>1.5141808937246259E-2</v>
          </cell>
          <cell r="AB49" t="str">
            <v/>
          </cell>
          <cell r="AC49">
            <v>3.5092281328373387E-2</v>
          </cell>
          <cell r="AD49">
            <v>5.7727329848833109E-2</v>
          </cell>
          <cell r="AE49">
            <v>0.10028691265730771</v>
          </cell>
        </row>
        <row r="50">
          <cell r="D50" t="str">
            <v>EUR</v>
          </cell>
          <cell r="N50" t="str">
            <v/>
          </cell>
          <cell r="O50">
            <v>6.3690485549472431E-4</v>
          </cell>
          <cell r="P50">
            <v>1.5710306083301928E-3</v>
          </cell>
          <cell r="Q50">
            <v>4.4742758268462302E-3</v>
          </cell>
          <cell r="R50">
            <v>9.2978809822560349E-3</v>
          </cell>
          <cell r="S50" t="str">
            <v/>
          </cell>
          <cell r="T50">
            <v>2.5114176488660989E-2</v>
          </cell>
          <cell r="U50">
            <v>4.3646006655868264E-2</v>
          </cell>
          <cell r="V50">
            <v>7.6213532312441767E-2</v>
          </cell>
          <cell r="W50" t="str">
            <v/>
          </cell>
          <cell r="X50">
            <v>7.2018164349907376E-4</v>
          </cell>
          <cell r="Y50">
            <v>1.7374215702635754E-3</v>
          </cell>
          <cell r="Z50">
            <v>4.806062434074998E-3</v>
          </cell>
          <cell r="AA50">
            <v>9.7931082246366374E-3</v>
          </cell>
          <cell r="AB50" t="str">
            <v/>
          </cell>
          <cell r="AC50">
            <v>2.634301941017192E-2</v>
          </cell>
          <cell r="AD50">
            <v>4.5775805220933607E-2</v>
          </cell>
          <cell r="AE50">
            <v>7.9881565756046213E-2</v>
          </cell>
        </row>
        <row r="51">
          <cell r="D51" t="str">
            <v>EUR</v>
          </cell>
          <cell r="N51" t="str">
            <v/>
          </cell>
          <cell r="O51">
            <v>1.091589126235637E-3</v>
          </cell>
          <cell r="P51">
            <v>4.2001698315580205E-3</v>
          </cell>
          <cell r="Q51">
            <v>1.3068870024125601E-2</v>
          </cell>
          <cell r="R51">
            <v>2.7763502399817952E-2</v>
          </cell>
          <cell r="S51" t="str">
            <v/>
          </cell>
          <cell r="T51">
            <v>6.8016892681860397E-2</v>
          </cell>
          <cell r="U51">
            <v>0.11274648055444325</v>
          </cell>
          <cell r="V51">
            <v>0.18360889151904602</v>
          </cell>
          <cell r="W51" t="str">
            <v/>
          </cell>
          <cell r="X51">
            <v>1.1748280254821886E-3</v>
          </cell>
          <cell r="Y51">
            <v>4.3993098829216981E-3</v>
          </cell>
          <cell r="Z51">
            <v>1.3718142650883225E-2</v>
          </cell>
          <cell r="AA51">
            <v>2.9135686797522653E-2</v>
          </cell>
          <cell r="AB51" t="str">
            <v/>
          </cell>
          <cell r="AC51">
            <v>7.1311842645118362E-2</v>
          </cell>
          <cell r="AD51">
            <v>0.11812911269853743</v>
          </cell>
          <cell r="AE51">
            <v>0.1920711868703221</v>
          </cell>
        </row>
        <row r="52">
          <cell r="D52" t="str">
            <v>EUR</v>
          </cell>
          <cell r="N52" t="str">
            <v/>
          </cell>
          <cell r="O52">
            <v>5.4594323121426314E-4</v>
          </cell>
          <cell r="P52">
            <v>1.2208758015412879E-3</v>
          </cell>
          <cell r="Q52">
            <v>4.1396751096509643E-3</v>
          </cell>
          <cell r="R52">
            <v>9.3288988610895629E-3</v>
          </cell>
          <cell r="S52" t="str">
            <v/>
          </cell>
          <cell r="T52">
            <v>2.4253086792053069E-2</v>
          </cell>
          <cell r="U52">
            <v>4.2474741666260529E-2</v>
          </cell>
          <cell r="V52">
            <v>7.6521608597956869E-2</v>
          </cell>
          <cell r="W52" t="str">
            <v/>
          </cell>
          <cell r="X52">
            <v>6.2922759904748826E-4</v>
          </cell>
          <cell r="Y52">
            <v>1.3873251177468626E-3</v>
          </cell>
          <cell r="Z52">
            <v>4.471573231844661E-3</v>
          </cell>
          <cell r="AA52">
            <v>9.8241105984022692E-3</v>
          </cell>
          <cell r="AB52" t="str">
            <v/>
          </cell>
          <cell r="AC52">
            <v>2.5438335363284215E-2</v>
          </cell>
          <cell r="AD52">
            <v>4.4546570276533193E-2</v>
          </cell>
          <cell r="AE52">
            <v>8.0203523225932272E-2</v>
          </cell>
        </row>
        <row r="53">
          <cell r="D53" t="str">
            <v>EUR</v>
          </cell>
          <cell r="N53" t="str">
            <v/>
          </cell>
          <cell r="O53">
            <v>6.3690485549472431E-4</v>
          </cell>
          <cell r="P53">
            <v>1.3948581478229194E-3</v>
          </cell>
          <cell r="Q53">
            <v>3.7822495418606827E-3</v>
          </cell>
          <cell r="R53">
            <v>8.8060186156978526E-3</v>
          </cell>
          <cell r="S53" t="str">
            <v/>
          </cell>
          <cell r="T53">
            <v>2.430013823796684E-2</v>
          </cell>
          <cell r="U53">
            <v>4.3819616029275199E-2</v>
          </cell>
          <cell r="V53">
            <v>7.830462618312195E-2</v>
          </cell>
          <cell r="W53" t="str">
            <v/>
          </cell>
          <cell r="X53">
            <v>7.2018164349907376E-4</v>
          </cell>
          <cell r="Y53">
            <v>1.5612784693798121E-3</v>
          </cell>
          <cell r="Z53">
            <v>4.1142667860674109E-3</v>
          </cell>
          <cell r="AA53">
            <v>9.3014917277863818E-3</v>
          </cell>
          <cell r="AB53" t="str">
            <v/>
          </cell>
          <cell r="AC53">
            <v>2.5485439191089809E-2</v>
          </cell>
          <cell r="AD53">
            <v>4.5954611780388732E-2</v>
          </cell>
          <cell r="AE53">
            <v>8.2068216850219144E-2</v>
          </cell>
        </row>
        <row r="54">
          <cell r="D54" t="str">
            <v>EUR</v>
          </cell>
          <cell r="N54" t="str">
            <v/>
          </cell>
          <cell r="O54">
            <v>3.6399520350638426E-4</v>
          </cell>
          <cell r="P54">
            <v>1.049060286898551E-3</v>
          </cell>
          <cell r="Q54">
            <v>3.4518609824072399E-3</v>
          </cell>
          <cell r="R54">
            <v>7.2484136290769108E-3</v>
          </cell>
          <cell r="S54" t="str">
            <v/>
          </cell>
          <cell r="T54">
            <v>1.818919910151906E-2</v>
          </cell>
          <cell r="U54">
            <v>2.9003784463356164E-2</v>
          </cell>
          <cell r="V54">
            <v>5.0396665974648425E-2</v>
          </cell>
          <cell r="W54" t="str">
            <v/>
          </cell>
          <cell r="X54">
            <v>4.4729473304006007E-4</v>
          </cell>
          <cell r="Y54">
            <v>1.2155382366452194E-3</v>
          </cell>
          <cell r="Z54">
            <v>3.7839883377916994E-3</v>
          </cell>
          <cell r="AA54">
            <v>7.7446653490090833E-3</v>
          </cell>
          <cell r="AB54" t="str">
            <v/>
          </cell>
          <cell r="AC54">
            <v>1.9047907812442699E-2</v>
          </cell>
          <cell r="AD54">
            <v>3.0413606826250938E-2</v>
          </cell>
          <cell r="AE54">
            <v>5.2836538853544446E-2</v>
          </cell>
        </row>
        <row r="55">
          <cell r="D55" t="str">
            <v>EUR</v>
          </cell>
          <cell r="N55" t="str">
            <v/>
          </cell>
          <cell r="O55">
            <v>5.4594323121426314E-4</v>
          </cell>
          <cell r="P55">
            <v>1.9255681029851646E-3</v>
          </cell>
          <cell r="Q55">
            <v>6.2083384455808854E-3</v>
          </cell>
          <cell r="R55">
            <v>1.2915495504465024E-2</v>
          </cell>
          <cell r="S55" t="str">
            <v/>
          </cell>
          <cell r="T55">
            <v>2.9200488811569114E-2</v>
          </cell>
          <cell r="U55">
            <v>5.0563243889938492E-2</v>
          </cell>
          <cell r="V55">
            <v>8.573277785548572E-2</v>
          </cell>
          <cell r="W55" t="str">
            <v/>
          </cell>
          <cell r="X55">
            <v>6.2922759904748826E-4</v>
          </cell>
          <cell r="Y55">
            <v>2.0918999802571614E-3</v>
          </cell>
          <cell r="Z55">
            <v>6.5395471282390094E-3</v>
          </cell>
          <cell r="AA55">
            <v>1.3552649121470695E-2</v>
          </cell>
          <cell r="AB55" t="str">
            <v/>
          </cell>
          <cell r="AC55">
            <v>3.0635872746199277E-2</v>
          </cell>
          <cell r="AD55">
            <v>5.3031418239175676E-2</v>
          </cell>
          <cell r="AE55">
            <v>8.9846138559902311E-2</v>
          </cell>
        </row>
        <row r="56">
          <cell r="D56" t="str">
            <v>EUR</v>
          </cell>
          <cell r="N56" t="str">
            <v/>
          </cell>
          <cell r="O56">
            <v>5.4594323121426314E-4</v>
          </cell>
          <cell r="P56">
            <v>2.4539338382131293E-3</v>
          </cell>
          <cell r="Q56">
            <v>7.2352121625699484E-3</v>
          </cell>
          <cell r="R56">
            <v>1.390484410560977E-2</v>
          </cell>
          <cell r="S56" t="str">
            <v/>
          </cell>
          <cell r="T56">
            <v>3.082919296450648E-2</v>
          </cell>
          <cell r="U56">
            <v>5.2801218963714702E-2</v>
          </cell>
          <cell r="V56">
            <v>8.8827471414386849E-2</v>
          </cell>
          <cell r="W56" t="str">
            <v/>
          </cell>
          <cell r="X56">
            <v>6.2922759904748826E-4</v>
          </cell>
          <cell r="Y56">
            <v>2.6201776618682837E-3</v>
          </cell>
          <cell r="Z56">
            <v>7.5826190385611669E-3</v>
          </cell>
          <cell r="AA56">
            <v>1.4593421326407063E-2</v>
          </cell>
          <cell r="AB56" t="str">
            <v/>
          </cell>
          <cell r="AC56">
            <v>3.2346110119797933E-2</v>
          </cell>
          <cell r="AD56">
            <v>5.5378194218872467E-2</v>
          </cell>
          <cell r="AE56">
            <v>9.3084071555003867E-2</v>
          </cell>
        </row>
        <row r="57">
          <cell r="D57" t="str">
            <v>EUR</v>
          </cell>
          <cell r="N57" t="str">
            <v/>
          </cell>
          <cell r="O57">
            <v>4.5497334759936336E-4</v>
          </cell>
          <cell r="P57">
            <v>1.3992836384263407E-3</v>
          </cell>
          <cell r="Q57">
            <v>4.8338786310909709E-3</v>
          </cell>
          <cell r="R57">
            <v>1.1413695955712733E-2</v>
          </cell>
          <cell r="S57" t="str">
            <v/>
          </cell>
          <cell r="T57">
            <v>3.0300515873449063E-2</v>
          </cell>
          <cell r="U57">
            <v>5.1971616231201723E-2</v>
          </cell>
          <cell r="V57">
            <v>9.13775850537627E-2</v>
          </cell>
          <cell r="W57" t="str">
            <v/>
          </cell>
          <cell r="X57">
            <v>5.3826529594969141E-4</v>
          </cell>
          <cell r="Y57">
            <v>1.5657032224634104E-3</v>
          </cell>
          <cell r="Z57">
            <v>5.1655453906920279E-3</v>
          </cell>
          <cell r="AA57">
            <v>1.1957268926647835E-2</v>
          </cell>
          <cell r="AB57" t="str">
            <v/>
          </cell>
          <cell r="AC57">
            <v>3.1787008413523887E-2</v>
          </cell>
          <cell r="AD57">
            <v>5.4505617864190392E-2</v>
          </cell>
          <cell r="AE57">
            <v>9.5750677601859735E-2</v>
          </cell>
        </row>
        <row r="58">
          <cell r="D58" t="str">
            <v>EUR</v>
          </cell>
          <cell r="N58" t="str">
            <v/>
          </cell>
          <cell r="O58">
            <v>1.091589126235637E-3</v>
          </cell>
          <cell r="P58">
            <v>2.9684668899444544E-3</v>
          </cell>
          <cell r="Q58">
            <v>9.639264859510388E-3</v>
          </cell>
          <cell r="R58">
            <v>1.7980368078696074E-2</v>
          </cell>
          <cell r="S58" t="str">
            <v/>
          </cell>
          <cell r="T58">
            <v>3.8332173058903574E-2</v>
          </cell>
          <cell r="U58">
            <v>6.1735106566651488E-2</v>
          </cell>
          <cell r="V58">
            <v>0.10487890499540853</v>
          </cell>
          <cell r="W58" t="str">
            <v/>
          </cell>
          <cell r="X58">
            <v>1.1748280254821886E-3</v>
          </cell>
          <cell r="Y58">
            <v>3.1346249652464131E-3</v>
          </cell>
          <cell r="Z58">
            <v>1.0101325380074133E-2</v>
          </cell>
          <cell r="AA58">
            <v>1.8871846988310681E-2</v>
          </cell>
          <cell r="AB58" t="str">
            <v/>
          </cell>
          <cell r="AC58">
            <v>4.021360636905269E-2</v>
          </cell>
          <cell r="AD58">
            <v>6.4735240209967682E-2</v>
          </cell>
          <cell r="AE58">
            <v>0.10989174721493034</v>
          </cell>
        </row>
        <row r="59">
          <cell r="D59" t="str">
            <v>EUR</v>
          </cell>
          <cell r="N59" t="str">
            <v/>
          </cell>
          <cell r="O59">
            <v>7.2785822158416558E-4</v>
          </cell>
          <cell r="P59">
            <v>2.2733221545981896E-3</v>
          </cell>
          <cell r="Q59">
            <v>7.9336151113674758E-3</v>
          </cell>
          <cell r="R59">
            <v>1.4930837204146341E-2</v>
          </cell>
          <cell r="S59" t="str">
            <v/>
          </cell>
          <cell r="T59">
            <v>3.2493565565214988E-2</v>
          </cell>
          <cell r="U59">
            <v>5.3785072093279429E-2</v>
          </cell>
          <cell r="V59">
            <v>9.400978733948262E-2</v>
          </cell>
          <cell r="W59" t="str">
            <v/>
          </cell>
          <cell r="X59">
            <v>8.1112743046984903E-4</v>
          </cell>
          <cell r="Y59">
            <v>2.4395960776882886E-3</v>
          </cell>
          <cell r="Z59">
            <v>8.3138343455818609E-3</v>
          </cell>
          <cell r="AA59">
            <v>1.5670094314722882E-2</v>
          </cell>
          <cell r="AB59" t="str">
            <v/>
          </cell>
          <cell r="AC59">
            <v>3.4091122963668896E-2</v>
          </cell>
          <cell r="AD59">
            <v>5.6407790087924625E-2</v>
          </cell>
          <cell r="AE59">
            <v>9.8528367103767778E-2</v>
          </cell>
        </row>
        <row r="60">
          <cell r="D60" t="str">
            <v>EUR</v>
          </cell>
          <cell r="N60" t="str">
            <v/>
          </cell>
          <cell r="O60">
            <v>5.4594323121426314E-4</v>
          </cell>
          <cell r="P60">
            <v>1.5732511946792149E-3</v>
          </cell>
          <cell r="Q60">
            <v>4.4765243018008993E-3</v>
          </cell>
          <cell r="R60">
            <v>8.7695701861891795E-3</v>
          </cell>
          <cell r="S60" t="str">
            <v/>
          </cell>
          <cell r="T60">
            <v>1.8897620666418646E-2</v>
          </cell>
          <cell r="U60">
            <v>3.1333570999939941E-2</v>
          </cell>
          <cell r="V60">
            <v>5.557937210502184E-2</v>
          </cell>
          <cell r="W60" t="str">
            <v/>
          </cell>
          <cell r="X60">
            <v>6.2922759904748826E-4</v>
          </cell>
          <cell r="Y60">
            <v>1.7396417865397362E-3</v>
          </cell>
          <cell r="Z60">
            <v>4.8083101596323452E-3</v>
          </cell>
          <cell r="AA60">
            <v>9.2650615179205031E-3</v>
          </cell>
          <cell r="AB60" t="str">
            <v/>
          </cell>
          <cell r="AC60">
            <v>1.9819398729613691E-2</v>
          </cell>
          <cell r="AD60">
            <v>3.2863730245054956E-2</v>
          </cell>
          <cell r="AE60">
            <v>5.8273162104088172E-2</v>
          </cell>
        </row>
        <row r="61">
          <cell r="D61" t="str">
            <v>EUR</v>
          </cell>
          <cell r="N61" t="str">
            <v/>
          </cell>
          <cell r="O61">
            <v>7.2785822158416558E-4</v>
          </cell>
          <cell r="P61">
            <v>1.9210954044108774E-3</v>
          </cell>
          <cell r="Q61">
            <v>5.5063578023649695E-3</v>
          </cell>
          <cell r="R61">
            <v>9.2342335366527584E-3</v>
          </cell>
          <cell r="S61" t="str">
            <v/>
          </cell>
          <cell r="T61">
            <v>2.0581768758713315E-2</v>
          </cell>
          <cell r="U61">
            <v>3.3650610908335432E-2</v>
          </cell>
          <cell r="V61">
            <v>6.0735416676911291E-2</v>
          </cell>
          <cell r="W61" t="str">
            <v/>
          </cell>
          <cell r="X61">
            <v>8.1112743046984903E-4</v>
          </cell>
          <cell r="Y61">
            <v>2.0874280270694046E-3</v>
          </cell>
          <cell r="Z61">
            <v>5.8378004395733818E-3</v>
          </cell>
          <cell r="AA61">
            <v>9.7294925947858379E-3</v>
          </cell>
          <cell r="AB61" t="str">
            <v/>
          </cell>
          <cell r="AC61">
            <v>2.1591233130506593E-2</v>
          </cell>
          <cell r="AD61">
            <v>3.5298248323500592E-2</v>
          </cell>
          <cell r="AE61">
            <v>6.3678380588906847E-2</v>
          </cell>
        </row>
        <row r="62">
          <cell r="D62" t="str">
            <v>EUR</v>
          </cell>
          <cell r="N62" t="str">
            <v/>
          </cell>
          <cell r="O62">
            <v>4.5497334759936336E-4</v>
          </cell>
          <cell r="P62">
            <v>1.0468631450375465E-3</v>
          </cell>
          <cell r="Q62">
            <v>4.1480051453959277E-3</v>
          </cell>
          <cell r="R62">
            <v>8.8066616088201544E-3</v>
          </cell>
          <cell r="S62" t="str">
            <v/>
          </cell>
          <cell r="T62">
            <v>2.3407259258605095E-2</v>
          </cell>
          <cell r="U62">
            <v>4.0019686370160512E-2</v>
          </cell>
          <cell r="V62">
            <v>6.9344711569797934E-2</v>
          </cell>
          <cell r="W62" t="str">
            <v/>
          </cell>
          <cell r="X62">
            <v>5.3826529594969141E-4</v>
          </cell>
          <cell r="Y62">
            <v>1.2133414609432069E-3</v>
          </cell>
          <cell r="Z62">
            <v>4.4799004913916862E-3</v>
          </cell>
          <cell r="AA62">
            <v>9.3021343994812433E-3</v>
          </cell>
          <cell r="AB62" t="str">
            <v/>
          </cell>
          <cell r="AC62">
            <v>2.4548779384484631E-2</v>
          </cell>
          <cell r="AD62">
            <v>4.1970416001016697E-2</v>
          </cell>
          <cell r="AE62">
            <v>7.2687382407809142E-2</v>
          </cell>
        </row>
        <row r="63">
          <cell r="D63" t="str">
            <v>EUR</v>
          </cell>
          <cell r="N63" t="str">
            <v/>
          </cell>
          <cell r="O63">
            <v>9.0974018358735975E-4</v>
          </cell>
          <cell r="P63">
            <v>2.0927282198391906E-3</v>
          </cell>
          <cell r="Q63">
            <v>5.1468903608948846E-3</v>
          </cell>
          <cell r="R63">
            <v>1.1360432066579995E-2</v>
          </cell>
          <cell r="S63" t="str">
            <v/>
          </cell>
          <cell r="T63">
            <v>2.5789918585153226E-2</v>
          </cell>
          <cell r="U63">
            <v>4.3334101110806933E-2</v>
          </cell>
          <cell r="V63">
            <v>7.9728837003111841E-2</v>
          </cell>
          <cell r="W63" t="str">
            <v/>
          </cell>
          <cell r="X63">
            <v>9.9299423627774441E-4</v>
          </cell>
          <cell r="Y63">
            <v>2.2590322394089313E-3</v>
          </cell>
          <cell r="Z63">
            <v>5.4784528006507349E-3</v>
          </cell>
          <cell r="AA63">
            <v>1.1904034324636936E-2</v>
          </cell>
          <cell r="AB63" t="str">
            <v/>
          </cell>
          <cell r="AC63">
            <v>2.7058408924371946E-2</v>
          </cell>
          <cell r="AD63">
            <v>4.5454292558026799E-2</v>
          </cell>
          <cell r="AE63">
            <v>8.3566198709026818E-2</v>
          </cell>
        </row>
        <row r="64">
          <cell r="D64" t="str">
            <v>EUR</v>
          </cell>
          <cell r="N64" t="str">
            <v/>
          </cell>
          <cell r="O64">
            <v>2.7300879781333443E-4</v>
          </cell>
          <cell r="P64">
            <v>8.7500955172725714E-4</v>
          </cell>
          <cell r="Q64">
            <v>3.4601332404350371E-3</v>
          </cell>
          <cell r="R64">
            <v>7.787933144613457E-3</v>
          </cell>
          <cell r="S64" t="str">
            <v/>
          </cell>
          <cell r="T64">
            <v>1.9950789385299261E-2</v>
          </cell>
          <cell r="U64">
            <v>3.53093489898475E-2</v>
          </cell>
          <cell r="V64">
            <v>5.8986005842569411E-2</v>
          </cell>
          <cell r="W64" t="str">
            <v/>
          </cell>
          <cell r="X64">
            <v>3.5631590924090073E-4</v>
          </cell>
          <cell r="Y64">
            <v>1.0415165074959543E-3</v>
          </cell>
          <cell r="Z64">
            <v>3.7922578388287498E-3</v>
          </cell>
          <cell r="AA64">
            <v>8.2839151722193805E-3</v>
          </cell>
          <cell r="AB64" t="str">
            <v/>
          </cell>
          <cell r="AC64">
            <v>2.0916918588414601E-2</v>
          </cell>
          <cell r="AD64">
            <v>3.7026248151619368E-2</v>
          </cell>
          <cell r="AE64">
            <v>6.1834621281873225E-2</v>
          </cell>
        </row>
        <row r="65">
          <cell r="D65" t="str">
            <v>EUR</v>
          </cell>
          <cell r="N65" t="str">
            <v/>
          </cell>
          <cell r="O65">
            <v>2.7300879781333443E-4</v>
          </cell>
          <cell r="P65">
            <v>8.7500955172725714E-4</v>
          </cell>
          <cell r="Q65">
            <v>3.4601332404350371E-3</v>
          </cell>
          <cell r="R65">
            <v>6.725555080222434E-3</v>
          </cell>
          <cell r="S65" t="str">
            <v/>
          </cell>
          <cell r="T65">
            <v>1.7339559318780173E-2</v>
          </cell>
          <cell r="U65">
            <v>2.9140602970117779E-2</v>
          </cell>
          <cell r="V65">
            <v>5.0533927407309553E-2</v>
          </cell>
          <cell r="W65" t="str">
            <v/>
          </cell>
          <cell r="X65">
            <v>3.5631590924090073E-4</v>
          </cell>
          <cell r="Y65">
            <v>1.0415165074959543E-3</v>
          </cell>
          <cell r="Z65">
            <v>3.7922578388287498E-3</v>
          </cell>
          <cell r="AA65">
            <v>7.2220681640683404E-3</v>
          </cell>
          <cell r="AB65" t="str">
            <v/>
          </cell>
          <cell r="AC65">
            <v>1.8158101912592928E-2</v>
          </cell>
          <cell r="AD65">
            <v>3.0554806770112908E-2</v>
          </cell>
          <cell r="AE65">
            <v>5.2978428138551026E-2</v>
          </cell>
        </row>
        <row r="66">
          <cell r="D66" t="str">
            <v>EUR</v>
          </cell>
          <cell r="N66" t="str">
            <v/>
          </cell>
          <cell r="O66">
            <v>1.820141294202049E-4</v>
          </cell>
          <cell r="P66">
            <v>8.771990960207976E-4</v>
          </cell>
          <cell r="Q66">
            <v>3.8116198631693576E-3</v>
          </cell>
          <cell r="R66">
            <v>7.2429375975269217E-3</v>
          </cell>
          <cell r="S66" t="str">
            <v/>
          </cell>
          <cell r="T66">
            <v>1.8183613296618106E-2</v>
          </cell>
          <cell r="U66">
            <v>3.0302758921314177E-2</v>
          </cell>
          <cell r="V66">
            <v>5.2155428470148757E-2</v>
          </cell>
          <cell r="W66" t="str">
            <v/>
          </cell>
          <cell r="X66">
            <v>2.6532882340812858E-4</v>
          </cell>
          <cell r="Y66">
            <v>1.0437056869131434E-3</v>
          </cell>
          <cell r="Z66">
            <v>4.1436273189109363E-3</v>
          </cell>
          <cell r="AA66">
            <v>7.73919205476159E-3</v>
          </cell>
          <cell r="AB66" t="str">
            <v/>
          </cell>
          <cell r="AC66">
            <v>1.9042326893026651E-2</v>
          </cell>
          <cell r="AD66">
            <v>3.1776415762290844E-2</v>
          </cell>
          <cell r="AE66">
            <v>5.4679844950740408E-2</v>
          </cell>
        </row>
        <row r="67">
          <cell r="D67" t="str">
            <v>EUR</v>
          </cell>
          <cell r="N67" t="str">
            <v/>
          </cell>
          <cell r="O67">
            <v>7.8242627775704232E-4</v>
          </cell>
          <cell r="P67">
            <v>2.2719709708909352E-3</v>
          </cell>
          <cell r="Q67">
            <v>6.8173408130354218E-3</v>
          </cell>
          <cell r="R67">
            <v>1.2390122317736063E-2</v>
          </cell>
          <cell r="S67" t="str">
            <v/>
          </cell>
          <cell r="T67">
            <v>2.6514724999349371E-2</v>
          </cell>
          <cell r="U67">
            <v>4.2296304451328148E-2</v>
          </cell>
          <cell r="V67">
            <v>6.8078235575103507E-2</v>
          </cell>
          <cell r="W67" t="str">
            <v/>
          </cell>
          <cell r="X67">
            <v>8.6569093948418718E-4</v>
          </cell>
          <cell r="Y67">
            <v>2.4382451191656829E-3</v>
          </cell>
          <cell r="Z67">
            <v>7.1483465287274228E-3</v>
          </cell>
          <cell r="AA67">
            <v>1.2984978050737284E-2</v>
          </cell>
          <cell r="AB67" t="str">
            <v/>
          </cell>
          <cell r="AC67">
            <v>2.7822512504040442E-2</v>
          </cell>
          <cell r="AD67">
            <v>4.4369281250891013E-2</v>
          </cell>
          <cell r="AE67">
            <v>7.1370178577984222E-2</v>
          </cell>
        </row>
        <row r="68">
          <cell r="D68" t="str">
            <v>EUR</v>
          </cell>
          <cell r="N68" t="str">
            <v/>
          </cell>
          <cell r="O68">
            <v>9.0974018358735975E-4</v>
          </cell>
          <cell r="P68">
            <v>3.1490504485182091E-3</v>
          </cell>
          <cell r="Q68">
            <v>8.5936040204396269E-3</v>
          </cell>
          <cell r="R68">
            <v>1.9086543818467749E-2</v>
          </cell>
          <cell r="S68" t="str">
            <v/>
          </cell>
          <cell r="T68">
            <v>4.713463040638588E-2</v>
          </cell>
          <cell r="U68">
            <v>8.2410936273714763E-2</v>
          </cell>
          <cell r="V68">
            <v>0.13977440893517779</v>
          </cell>
          <cell r="W68" t="str">
            <v/>
          </cell>
          <cell r="X68">
            <v>9.9299423627774441E-4</v>
          </cell>
          <cell r="Y68">
            <v>3.3151784290570419E-3</v>
          </cell>
          <cell r="Z68">
            <v>9.0066039711234058E-3</v>
          </cell>
          <cell r="AA68">
            <v>2.0032851202350765E-2</v>
          </cell>
          <cell r="AB68" t="str">
            <v/>
          </cell>
          <cell r="AC68">
            <v>4.9440954646172264E-2</v>
          </cell>
          <cell r="AD68">
            <v>8.6387413233379062E-2</v>
          </cell>
          <cell r="AE68">
            <v>0.14636887138789334</v>
          </cell>
        </row>
        <row r="69">
          <cell r="D69" t="str">
            <v>EUR</v>
          </cell>
          <cell r="N69" t="str">
            <v/>
          </cell>
          <cell r="O69">
            <v>1.5460670821495492E-3</v>
          </cell>
          <cell r="P69">
            <v>3.6608135448706891E-3</v>
          </cell>
          <cell r="Q69">
            <v>9.9494895916775183E-3</v>
          </cell>
          <cell r="R69">
            <v>2.2671330235220832E-2</v>
          </cell>
          <cell r="S69" t="str">
            <v/>
          </cell>
          <cell r="T69">
            <v>5.1127611209701218E-2</v>
          </cell>
          <cell r="U69">
            <v>8.9094048405005011E-2</v>
          </cell>
          <cell r="V69">
            <v>0.15424030285963597</v>
          </cell>
          <cell r="W69" t="str">
            <v/>
          </cell>
          <cell r="X69">
            <v>1.6292681098082351E-3</v>
          </cell>
          <cell r="Y69">
            <v>3.8351576469478621E-3</v>
          </cell>
          <cell r="Z69">
            <v>1.0427898380283018E-2</v>
          </cell>
          <cell r="AA69">
            <v>2.3795558275221063E-2</v>
          </cell>
          <cell r="AB69" t="str">
            <v/>
          </cell>
          <cell r="AC69">
            <v>5.3625281410297654E-2</v>
          </cell>
          <cell r="AD69">
            <v>9.3378589051343663E-2</v>
          </cell>
          <cell r="AE69">
            <v>0.16147528478373419</v>
          </cell>
        </row>
        <row r="70">
          <cell r="D70" t="str">
            <v>EUR</v>
          </cell>
          <cell r="N70" t="str">
            <v/>
          </cell>
          <cell r="O70">
            <v>3.6399520350638426E-4</v>
          </cell>
          <cell r="P70">
            <v>1.5776928696848991E-3</v>
          </cell>
          <cell r="Q70">
            <v>5.1789274143090314E-3</v>
          </cell>
          <cell r="R70">
            <v>1.1393162836942361E-2</v>
          </cell>
          <cell r="S70" t="str">
            <v/>
          </cell>
          <cell r="T70">
            <v>3.0279236395014841E-2</v>
          </cell>
          <cell r="U70">
            <v>5.4531517711678967E-2</v>
          </cell>
          <cell r="V70">
            <v>9.6657308062521041E-2</v>
          </cell>
          <cell r="W70" t="str">
            <v/>
          </cell>
          <cell r="X70">
            <v>4.4729473304006007E-4</v>
          </cell>
          <cell r="Y70">
            <v>1.7440827213339727E-3</v>
          </cell>
          <cell r="Z70">
            <v>5.5104791767930372E-3</v>
          </cell>
          <cell r="AA70">
            <v>1.1936747098001743E-2</v>
          </cell>
          <cell r="AB70" t="str">
            <v/>
          </cell>
          <cell r="AC70">
            <v>3.1765613676495219E-2</v>
          </cell>
          <cell r="AD70">
            <v>5.7189744163863354E-2</v>
          </cell>
          <cell r="AE70">
            <v>0.10130319354670014</v>
          </cell>
        </row>
        <row r="71">
          <cell r="D71" t="str">
            <v>EUR</v>
          </cell>
          <cell r="N71" t="str">
            <v/>
          </cell>
          <cell r="O71">
            <v>1.0461299856532325E-3</v>
          </cell>
          <cell r="P71">
            <v>2.5119262536406062E-3</v>
          </cell>
          <cell r="Q71">
            <v>6.9064452125766618E-3</v>
          </cell>
          <cell r="R71">
            <v>1.2104800199357779E-2</v>
          </cell>
          <cell r="S71" t="str">
            <v/>
          </cell>
          <cell r="T71">
            <v>2.562235794911305E-2</v>
          </cell>
          <cell r="U71">
            <v>4.0963013988627117E-2</v>
          </cell>
          <cell r="V71">
            <v>6.6446447981879708E-2</v>
          </cell>
          <cell r="W71" t="str">
            <v/>
          </cell>
          <cell r="X71">
            <v>1.1293726729973974E-3</v>
          </cell>
          <cell r="Y71">
            <v>2.6781604127020797E-3</v>
          </cell>
          <cell r="Z71">
            <v>7.2390758346858597E-3</v>
          </cell>
          <cell r="AA71">
            <v>1.2687486457871211E-2</v>
          </cell>
          <cell r="AB71" t="str">
            <v/>
          </cell>
          <cell r="AC71">
            <v>2.6887283305251475E-2</v>
          </cell>
          <cell r="AD71">
            <v>4.2972458532456015E-2</v>
          </cell>
          <cell r="AE71">
            <v>6.9662945149016164E-2</v>
          </cell>
        </row>
        <row r="72">
          <cell r="D72" t="str">
            <v>EUR</v>
          </cell>
          <cell r="N72" t="str">
            <v/>
          </cell>
          <cell r="O72">
            <v>6.3690485549472431E-4</v>
          </cell>
          <cell r="P72">
            <v>2.0994602738400037E-3</v>
          </cell>
          <cell r="Q72">
            <v>8.29057853893167E-3</v>
          </cell>
          <cell r="R72">
            <v>1.6508878449327913E-2</v>
          </cell>
          <cell r="S72" t="str">
            <v/>
          </cell>
          <cell r="T72">
            <v>4.0342172031943568E-2</v>
          </cell>
          <cell r="U72">
            <v>6.6904999612623528E-2</v>
          </cell>
          <cell r="V72">
            <v>0.12105373466674663</v>
          </cell>
          <cell r="W72" t="str">
            <v/>
          </cell>
          <cell r="X72">
            <v>7.2018164349907376E-4</v>
          </cell>
          <cell r="Y72">
            <v>2.2657631715060633E-3</v>
          </cell>
          <cell r="Z72">
            <v>8.6871829813273127E-3</v>
          </cell>
          <cell r="AA72">
            <v>1.7325792201715373E-2</v>
          </cell>
          <cell r="AB72" t="str">
            <v/>
          </cell>
          <cell r="AC72">
            <v>4.2319708266551181E-2</v>
          </cell>
          <cell r="AD72">
            <v>7.0150894735711122E-2</v>
          </cell>
          <cell r="AE72">
            <v>0.12681605304300803</v>
          </cell>
        </row>
        <row r="73">
          <cell r="D73" t="str">
            <v>EUR</v>
          </cell>
          <cell r="N73" t="str">
            <v/>
          </cell>
          <cell r="O73">
            <v>3.6399520350638426E-4</v>
          </cell>
          <cell r="P73">
            <v>1.049060286898551E-3</v>
          </cell>
          <cell r="Q73">
            <v>3.8010831333065154E-3</v>
          </cell>
          <cell r="R73">
            <v>7.2323104235898494E-3</v>
          </cell>
          <cell r="S73" t="str">
            <v/>
          </cell>
          <cell r="T73">
            <v>2.0859194367127021E-2</v>
          </cell>
          <cell r="U73">
            <v>3.9134327449110162E-2</v>
          </cell>
          <cell r="V73">
            <v>7.186498170609279E-2</v>
          </cell>
          <cell r="W73" t="str">
            <v/>
          </cell>
          <cell r="X73">
            <v>4.4729473304006007E-4</v>
          </cell>
          <cell r="Y73">
            <v>1.2155382366452194E-3</v>
          </cell>
          <cell r="Z73">
            <v>4.1330941006814115E-3</v>
          </cell>
          <cell r="AA73">
            <v>7.7285701930812634E-3</v>
          </cell>
          <cell r="AB73" t="str">
            <v/>
          </cell>
          <cell r="AC73">
            <v>2.1869210805171124E-2</v>
          </cell>
          <cell r="AD73">
            <v>4.1036690995483904E-2</v>
          </cell>
          <cell r="AE73">
            <v>7.5322965556477661E-2</v>
          </cell>
        </row>
        <row r="74">
          <cell r="D74" t="str">
            <v>EUR</v>
          </cell>
          <cell r="N74" t="str">
            <v/>
          </cell>
          <cell r="O74">
            <v>5.4594323121426314E-4</v>
          </cell>
          <cell r="P74">
            <v>1.9255681029851646E-3</v>
          </cell>
          <cell r="Q74">
            <v>6.9055445682626448E-3</v>
          </cell>
          <cell r="R74">
            <v>1.3411486810679274E-2</v>
          </cell>
          <cell r="S74" t="str">
            <v/>
          </cell>
          <cell r="T74">
            <v>2.9126659298966628E-2</v>
          </cell>
          <cell r="U74">
            <v>4.9197218168044454E-2</v>
          </cell>
          <cell r="V74">
            <v>8.3935762048204188E-2</v>
          </cell>
          <cell r="W74" t="str">
            <v/>
          </cell>
          <cell r="X74">
            <v>6.2922759904748826E-4</v>
          </cell>
          <cell r="Y74">
            <v>2.0918999802571614E-3</v>
          </cell>
          <cell r="Z74">
            <v>7.2365208876083997E-3</v>
          </cell>
          <cell r="AA74">
            <v>1.4074778700198576E-2</v>
          </cell>
          <cell r="AB74" t="str">
            <v/>
          </cell>
          <cell r="AC74">
            <v>3.0559839347729767E-2</v>
          </cell>
          <cell r="AD74">
            <v>5.1600637064358135E-2</v>
          </cell>
          <cell r="AE74">
            <v>8.7966500852328267E-2</v>
          </cell>
        </row>
        <row r="75">
          <cell r="D75" t="str">
            <v>EUR</v>
          </cell>
          <cell r="N75" t="str">
            <v/>
          </cell>
          <cell r="O75">
            <v>1.820141294202049E-4</v>
          </cell>
          <cell r="P75">
            <v>5.2464325736389927E-4</v>
          </cell>
          <cell r="Q75">
            <v>2.0766572004125017E-3</v>
          </cell>
          <cell r="R75">
            <v>4.6772561677747015E-3</v>
          </cell>
          <cell r="S75" t="str">
            <v/>
          </cell>
          <cell r="T75">
            <v>1.1283949410554439E-2</v>
          </cell>
          <cell r="U75">
            <v>2.2149443140687897E-2</v>
          </cell>
          <cell r="V75">
            <v>4.4660071680580171E-2</v>
          </cell>
          <cell r="W75" t="str">
            <v/>
          </cell>
          <cell r="X75">
            <v>2.6532882340812858E-4</v>
          </cell>
          <cell r="Y75">
            <v>6.9120860266258521E-4</v>
          </cell>
          <cell r="Z75">
            <v>2.4092428806611332E-3</v>
          </cell>
          <cell r="AA75">
            <v>5.1747931450948359E-3</v>
          </cell>
          <cell r="AB75" t="str">
            <v/>
          </cell>
          <cell r="AC75">
            <v>1.2107536243861849E-2</v>
          </cell>
          <cell r="AD75">
            <v>2.3289603567435258E-2</v>
          </cell>
          <cell r="AE75">
            <v>4.6768928682261235E-2</v>
          </cell>
        </row>
        <row r="76">
          <cell r="D76" t="str">
            <v>EUR</v>
          </cell>
          <cell r="N76" t="str">
            <v/>
          </cell>
          <cell r="O76">
            <v>8.3699136160342302E-4</v>
          </cell>
          <cell r="P76">
            <v>2.4290942620034395E-3</v>
          </cell>
          <cell r="Q76">
            <v>7.1587706365939807E-3</v>
          </cell>
          <cell r="R76">
            <v>1.2789886515199411E-2</v>
          </cell>
          <cell r="S76" t="str">
            <v/>
          </cell>
          <cell r="T76">
            <v>2.5568271010102284E-2</v>
          </cell>
          <cell r="U76">
            <v>3.9872305823506538E-2</v>
          </cell>
          <cell r="V76">
            <v>6.2691854766758537E-2</v>
          </cell>
          <cell r="W76" t="str">
            <v/>
          </cell>
          <cell r="X76">
            <v>9.2025147644170247E-4</v>
          </cell>
          <cell r="Y76">
            <v>2.5953422252410485E-3</v>
          </cell>
          <cell r="Z76">
            <v>7.502895944260235E-3</v>
          </cell>
          <cell r="AA76">
            <v>1.3423536230496858E-2</v>
          </cell>
          <cell r="AB76" t="str">
            <v/>
          </cell>
          <cell r="AC76">
            <v>2.6828713877645183E-2</v>
          </cell>
          <cell r="AD76">
            <v>4.1826722305969288E-2</v>
          </cell>
          <cell r="AE76">
            <v>6.5728363936027212E-2</v>
          </cell>
        </row>
        <row r="77">
          <cell r="D77" t="str">
            <v>EUR</v>
          </cell>
          <cell r="N77" t="str">
            <v/>
          </cell>
          <cell r="O77">
            <v>2.1819898788055792E-3</v>
          </cell>
          <cell r="P77">
            <v>5.578147893211427E-3</v>
          </cell>
          <cell r="Q77">
            <v>1.6798990526525337E-2</v>
          </cell>
          <cell r="R77">
            <v>3.428933165952408E-2</v>
          </cell>
          <cell r="S77" t="str">
            <v/>
          </cell>
          <cell r="T77">
            <v>8.701196092974639E-2</v>
          </cell>
          <cell r="U77">
            <v>0.1427168712652146</v>
          </cell>
          <cell r="V77">
            <v>0.2277434455915669</v>
          </cell>
          <cell r="W77" t="str">
            <v/>
          </cell>
          <cell r="X77">
            <v>2.2909539277581326E-3</v>
          </cell>
          <cell r="Y77">
            <v>5.843291699695996E-3</v>
          </cell>
          <cell r="Z77">
            <v>1.7632976979662152E-2</v>
          </cell>
          <cell r="AA77">
            <v>3.5979757327312401E-2</v>
          </cell>
          <cell r="AB77" t="str">
            <v/>
          </cell>
          <cell r="AC77">
            <v>9.1218248372817001E-2</v>
          </cell>
          <cell r="AD77">
            <v>0.14943898054058014</v>
          </cell>
          <cell r="AE77">
            <v>0.23799821863066994</v>
          </cell>
        </row>
        <row r="78">
          <cell r="D78" t="str">
            <v>EUR</v>
          </cell>
          <cell r="N78" t="str">
            <v/>
          </cell>
          <cell r="O78">
            <v>5.4594323121426314E-4</v>
          </cell>
          <cell r="P78">
            <v>1.9255681029851646E-3</v>
          </cell>
          <cell r="Q78">
            <v>7.254060569530707E-3</v>
          </cell>
          <cell r="R78">
            <v>1.4453199477767686E-2</v>
          </cell>
          <cell r="S78" t="str">
            <v/>
          </cell>
          <cell r="T78">
            <v>3.436243648487558E-2</v>
          </cell>
          <cell r="U78">
            <v>5.7548334771735266E-2</v>
          </cell>
          <cell r="V78">
            <v>0.10469899063129007</v>
          </cell>
          <cell r="W78" t="str">
            <v/>
          </cell>
          <cell r="X78">
            <v>6.2922759904748826E-4</v>
          </cell>
          <cell r="Y78">
            <v>2.0918999802571614E-3</v>
          </cell>
          <cell r="Z78">
            <v>7.6014608497201319E-3</v>
          </cell>
          <cell r="AA78">
            <v>1.5168069467143441E-2</v>
          </cell>
          <cell r="AB78" t="str">
            <v/>
          </cell>
          <cell r="AC78">
            <v>3.605039110109054E-2</v>
          </cell>
          <cell r="AD78">
            <v>6.0350964126403173E-2</v>
          </cell>
          <cell r="AE78">
            <v>0.10971662942454874</v>
          </cell>
        </row>
        <row r="79">
          <cell r="D79" t="str">
            <v>EUR</v>
          </cell>
          <cell r="N79" t="str">
            <v/>
          </cell>
          <cell r="O79">
            <v>9.0974018358735975E-4</v>
          </cell>
          <cell r="P79">
            <v>2.4448940624895998E-3</v>
          </cell>
          <cell r="Q79">
            <v>7.5743377107447829E-3</v>
          </cell>
          <cell r="R79">
            <v>1.7051586809435415E-2</v>
          </cell>
          <cell r="S79" t="str">
            <v/>
          </cell>
          <cell r="T79">
            <v>4.3853077970212095E-2</v>
          </cell>
          <cell r="U79">
            <v>7.5427026809902875E-2</v>
          </cell>
          <cell r="V79">
            <v>0.12861205673693377</v>
          </cell>
          <cell r="W79" t="str">
            <v/>
          </cell>
          <cell r="X79">
            <v>9.9299423627774441E-4</v>
          </cell>
          <cell r="Y79">
            <v>2.6111393926411264E-3</v>
          </cell>
          <cell r="Z79">
            <v>7.938160415329909E-3</v>
          </cell>
          <cell r="AA79">
            <v>1.7896290573306106E-2</v>
          </cell>
          <cell r="AB79" t="str">
            <v/>
          </cell>
          <cell r="AC79">
            <v>4.6001124837710128E-2</v>
          </cell>
          <cell r="AD79">
            <v>7.907682648018588E-2</v>
          </cell>
          <cell r="AE79">
            <v>0.13470875264578097</v>
          </cell>
        </row>
        <row r="80">
          <cell r="D80" t="str">
            <v>EUR</v>
          </cell>
          <cell r="N80" t="str">
            <v/>
          </cell>
          <cell r="O80">
            <v>4.5497334759936336E-4</v>
          </cell>
          <cell r="P80">
            <v>8.7063095825812287E-4</v>
          </cell>
          <cell r="Q80">
            <v>3.4556797820997076E-3</v>
          </cell>
          <cell r="R80">
            <v>9.376265614280066E-3</v>
          </cell>
          <cell r="S80" t="str">
            <v/>
          </cell>
          <cell r="T80">
            <v>2.3408237842192481E-2</v>
          </cell>
          <cell r="U80">
            <v>4.2617308118326869E-2</v>
          </cell>
          <cell r="V80">
            <v>7.8582759132184932E-2</v>
          </cell>
          <cell r="W80" t="str">
            <v/>
          </cell>
          <cell r="X80">
            <v>5.3826529594969141E-4</v>
          </cell>
          <cell r="Y80">
            <v>1.0371386437357799E-3</v>
          </cell>
          <cell r="Z80">
            <v>3.7878058647371482E-3</v>
          </cell>
          <cell r="AA80">
            <v>9.8714536741485448E-3</v>
          </cell>
          <cell r="AB80" t="str">
            <v/>
          </cell>
          <cell r="AC80">
            <v>2.4549906581165959E-2</v>
          </cell>
          <cell r="AD80">
            <v>4.4694152425726053E-2</v>
          </cell>
          <cell r="AE80">
            <v>8.2360063031269748E-2</v>
          </cell>
        </row>
        <row r="81">
          <cell r="D81" t="str">
            <v>EUR</v>
          </cell>
          <cell r="N81" t="str">
            <v/>
          </cell>
          <cell r="O81">
            <v>9.0974018358735975E-4</v>
          </cell>
          <cell r="P81">
            <v>1.7405039246949361E-3</v>
          </cell>
          <cell r="Q81">
            <v>6.205408693567116E-3</v>
          </cell>
          <cell r="R81">
            <v>1.5030146356442398E-2</v>
          </cell>
          <cell r="S81" t="str">
            <v/>
          </cell>
          <cell r="T81">
            <v>3.7033293015781399E-2</v>
          </cell>
          <cell r="U81">
            <v>6.497368558177874E-2</v>
          </cell>
          <cell r="V81">
            <v>0.11832928029983047</v>
          </cell>
          <cell r="W81" t="str">
            <v/>
          </cell>
          <cell r="X81">
            <v>9.9299423627774441E-4</v>
          </cell>
          <cell r="Y81">
            <v>1.9068666434343129E-3</v>
          </cell>
          <cell r="Z81">
            <v>6.5366183526510691E-3</v>
          </cell>
          <cell r="AA81">
            <v>1.5772168824794819E-2</v>
          </cell>
          <cell r="AB81" t="str">
            <v/>
          </cell>
          <cell r="AC81">
            <v>3.8849566373336364E-2</v>
          </cell>
          <cell r="AD81">
            <v>6.8129049931901942E-2</v>
          </cell>
          <cell r="AE81">
            <v>0.12397270534238425</v>
          </cell>
        </row>
        <row r="82">
          <cell r="D82" t="str">
            <v>EUR</v>
          </cell>
          <cell r="N82" t="str">
            <v/>
          </cell>
          <cell r="O82">
            <v>3.6399520350638426E-4</v>
          </cell>
          <cell r="P82">
            <v>1.5776928696848991E-3</v>
          </cell>
          <cell r="Q82">
            <v>4.4810216560415839E-3</v>
          </cell>
          <cell r="R82">
            <v>9.3047296835042648E-3</v>
          </cell>
          <cell r="S82" t="str">
            <v/>
          </cell>
          <cell r="T82">
            <v>2.4228231729191863E-2</v>
          </cell>
          <cell r="U82">
            <v>4.244952888463227E-2</v>
          </cell>
          <cell r="V82">
            <v>7.4578300271456843E-2</v>
          </cell>
          <cell r="W82" t="str">
            <v/>
          </cell>
          <cell r="X82">
            <v>4.4729473304006007E-4</v>
          </cell>
          <cell r="Y82">
            <v>1.7440827213339727E-3</v>
          </cell>
          <cell r="Z82">
            <v>4.8128060150419705E-3</v>
          </cell>
          <cell r="AA82">
            <v>9.7999535023785E-3</v>
          </cell>
          <cell r="AB82" t="str">
            <v/>
          </cell>
          <cell r="AC82">
            <v>2.5413370722653927E-2</v>
          </cell>
          <cell r="AD82">
            <v>4.4521232185952719E-2</v>
          </cell>
          <cell r="AE82">
            <v>7.8169983013952615E-2</v>
          </cell>
        </row>
        <row r="83">
          <cell r="D83" t="str">
            <v>EUR</v>
          </cell>
          <cell r="N83" t="str">
            <v/>
          </cell>
          <cell r="O83">
            <v>5.4594323121426314E-4</v>
          </cell>
          <cell r="P83">
            <v>2.2778265410077214E-3</v>
          </cell>
          <cell r="Q83">
            <v>6.5444919874567686E-3</v>
          </cell>
          <cell r="R83">
            <v>1.2886083485589062E-2</v>
          </cell>
          <cell r="S83" t="str">
            <v/>
          </cell>
          <cell r="T83">
            <v>3.4505388110501412E-2</v>
          </cell>
          <cell r="U83">
            <v>6.1551122012739379E-2</v>
          </cell>
          <cell r="V83">
            <v>0.10616942060537249</v>
          </cell>
          <cell r="W83" t="str">
            <v/>
          </cell>
          <cell r="X83">
            <v>6.2922759904748826E-4</v>
          </cell>
          <cell r="Y83">
            <v>2.4440997134252962E-3</v>
          </cell>
          <cell r="Z83">
            <v>6.8755886376197228E-3</v>
          </cell>
          <cell r="AA83">
            <v>1.3523136903082933E-2</v>
          </cell>
          <cell r="AB83" t="str">
            <v/>
          </cell>
          <cell r="AC83">
            <v>3.62004699596572E-2</v>
          </cell>
          <cell r="AD83">
            <v>6.4546688902082816E-2</v>
          </cell>
          <cell r="AE83">
            <v>0.11125254195030643</v>
          </cell>
        </row>
        <row r="84">
          <cell r="D84" t="str">
            <v>EUR</v>
          </cell>
          <cell r="N84" t="str">
            <v/>
          </cell>
          <cell r="O84">
            <v>2.7300879781333443E-4</v>
          </cell>
          <cell r="P84">
            <v>1.5799139583937416E-3</v>
          </cell>
          <cell r="Q84">
            <v>5.181191906571736E-3</v>
          </cell>
          <cell r="R84">
            <v>1.1395476326936604E-2</v>
          </cell>
          <cell r="S84" t="str">
            <v/>
          </cell>
          <cell r="T84">
            <v>2.6717425658045246E-2</v>
          </cell>
          <cell r="U84">
            <v>4.8454801876623654E-2</v>
          </cell>
          <cell r="V84">
            <v>8.8487144380147265E-2</v>
          </cell>
          <cell r="W84" t="str">
            <v/>
          </cell>
          <cell r="X84">
            <v>3.5631590924090073E-4</v>
          </cell>
          <cell r="Y84">
            <v>1.7463034398864652E-3</v>
          </cell>
          <cell r="Z84">
            <v>5.5127429143683182E-3</v>
          </cell>
          <cell r="AA84">
            <v>1.1939059315941303E-2</v>
          </cell>
          <cell r="AB84" t="str">
            <v/>
          </cell>
          <cell r="AC84">
            <v>2.8029723671689433E-2</v>
          </cell>
          <cell r="AD84">
            <v>5.0821034060979375E-2</v>
          </cell>
          <cell r="AE84">
            <v>9.2730572572805259E-2</v>
          </cell>
        </row>
        <row r="85">
          <cell r="D85" t="str">
            <v>EUR</v>
          </cell>
          <cell r="N85" t="str">
            <v/>
          </cell>
          <cell r="O85">
            <v>9.0974018358735975E-4</v>
          </cell>
          <cell r="P85">
            <v>1.9166233797315302E-3</v>
          </cell>
          <cell r="Q85">
            <v>6.5477929881894159E-3</v>
          </cell>
          <cell r="R85">
            <v>1.2889436731533088E-2</v>
          </cell>
          <cell r="S85" t="str">
            <v/>
          </cell>
          <cell r="T85">
            <v>3.4508896700973013E-2</v>
          </cell>
          <cell r="U85">
            <v>6.0268884830894986E-2</v>
          </cell>
          <cell r="V85">
            <v>9.5047438712174581E-2</v>
          </cell>
          <cell r="W85" t="str">
            <v/>
          </cell>
          <cell r="X85">
            <v>9.9299423627774441E-4</v>
          </cell>
          <cell r="Y85">
            <v>2.0829567476645661E-3</v>
          </cell>
          <cell r="Z85">
            <v>6.8788885382086162E-3</v>
          </cell>
          <cell r="AA85">
            <v>1.3526504004571005E-2</v>
          </cell>
          <cell r="AB85" t="str">
            <v/>
          </cell>
          <cell r="AC85">
            <v>3.6203999673800724E-2</v>
          </cell>
          <cell r="AD85">
            <v>6.3202892906027319E-2</v>
          </cell>
          <cell r="AE85">
            <v>9.9587402402432912E-2</v>
          </cell>
        </row>
        <row r="86">
          <cell r="D86" t="str">
            <v>EUR</v>
          </cell>
          <cell r="N86" t="str">
            <v/>
          </cell>
          <cell r="O86">
            <v>1.6005905791771635E-3</v>
          </cell>
          <cell r="P86">
            <v>3.6418346279978309E-3</v>
          </cell>
          <cell r="Q86">
            <v>9.3575114931813141E-3</v>
          </cell>
          <cell r="R86">
            <v>1.5841289211032894E-2</v>
          </cell>
          <cell r="S86" t="str">
            <v/>
          </cell>
          <cell r="T86">
            <v>3.1376811925831527E-2</v>
          </cell>
          <cell r="U86">
            <v>4.7851180057260634E-2</v>
          </cell>
          <cell r="V86">
            <v>7.3789605742392794E-2</v>
          </cell>
          <cell r="W86" t="str">
            <v/>
          </cell>
          <cell r="X86">
            <v>1.6837870633903407E-3</v>
          </cell>
          <cell r="Y86">
            <v>3.8153518975708733E-3</v>
          </cell>
          <cell r="Z86">
            <v>9.8081512971357476E-3</v>
          </cell>
          <cell r="AA86">
            <v>1.6628469523382705E-2</v>
          </cell>
          <cell r="AB86" t="str">
            <v/>
          </cell>
          <cell r="AC86">
            <v>3.2922381644810761E-2</v>
          </cell>
          <cell r="AD86">
            <v>5.0190162732474675E-2</v>
          </cell>
          <cell r="AE86">
            <v>7.7344085980955213E-2</v>
          </cell>
        </row>
        <row r="87">
          <cell r="D87" t="str">
            <v>EUR</v>
          </cell>
          <cell r="N87" t="str">
            <v/>
          </cell>
          <cell r="O87">
            <v>1.0552219788206862E-3</v>
          </cell>
          <cell r="P87">
            <v>2.6349312827362859E-3</v>
          </cell>
          <cell r="Q87">
            <v>6.9715129129324094E-3</v>
          </cell>
          <cell r="R87">
            <v>1.2202713971308676E-2</v>
          </cell>
          <cell r="S87" t="str">
            <v/>
          </cell>
          <cell r="T87">
            <v>2.4715090561909014E-2</v>
          </cell>
          <cell r="U87">
            <v>3.9225050128337102E-2</v>
          </cell>
          <cell r="V87">
            <v>6.292814240174649E-2</v>
          </cell>
          <cell r="W87" t="str">
            <v/>
          </cell>
          <cell r="X87">
            <v>1.1384639085358916E-3</v>
          </cell>
          <cell r="Y87">
            <v>2.8011449426721402E-3</v>
          </cell>
          <cell r="Z87">
            <v>7.307430721766095E-3</v>
          </cell>
          <cell r="AA87">
            <v>1.2790278538708733E-2</v>
          </cell>
          <cell r="AB87" t="str">
            <v/>
          </cell>
          <cell r="AC87">
            <v>2.5935777080825839E-2</v>
          </cell>
          <cell r="AD87">
            <v>4.1150499376110261E-2</v>
          </cell>
          <cell r="AE87">
            <v>6.5978855854495699E-2</v>
          </cell>
        </row>
        <row r="88">
          <cell r="D88" t="str">
            <v>EUR</v>
          </cell>
          <cell r="N88" t="str">
            <v/>
          </cell>
          <cell r="O88">
            <v>6.3690485549472431E-4</v>
          </cell>
          <cell r="P88">
            <v>1.7471884482904709E-3</v>
          </cell>
          <cell r="Q88">
            <v>5.5148027586187087E-3</v>
          </cell>
          <cell r="R88">
            <v>1.0833347538365956E-2</v>
          </cell>
          <cell r="S88" t="str">
            <v/>
          </cell>
          <cell r="T88">
            <v>2.8506675491326017E-2</v>
          </cell>
          <cell r="U88">
            <v>4.8272343001782625E-2</v>
          </cell>
          <cell r="V88">
            <v>8.2580231160876649E-2</v>
          </cell>
          <cell r="W88" t="str">
            <v/>
          </cell>
          <cell r="X88">
            <v>7.2018164349907376E-4</v>
          </cell>
          <cell r="Y88">
            <v>1.9135500530244043E-3</v>
          </cell>
          <cell r="Z88">
            <v>5.8462425813439189E-3</v>
          </cell>
          <cell r="AA88">
            <v>1.1352523735223441E-2</v>
          </cell>
          <cell r="AB88" t="str">
            <v/>
          </cell>
          <cell r="AC88">
            <v>2.9907813320626864E-2</v>
          </cell>
          <cell r="AD88">
            <v>5.063077530986404E-2</v>
          </cell>
          <cell r="AE88">
            <v>8.6548484610133758E-2</v>
          </cell>
        </row>
        <row r="89">
          <cell r="D89" t="str">
            <v>EUR</v>
          </cell>
          <cell r="N89" t="str">
            <v/>
          </cell>
          <cell r="O89">
            <v>1.5460670821495492E-3</v>
          </cell>
          <cell r="P89">
            <v>3.1330157615230281E-3</v>
          </cell>
          <cell r="Q89">
            <v>9.2731561642234173E-3</v>
          </cell>
          <cell r="R89">
            <v>2.0090196783860592E-2</v>
          </cell>
          <cell r="S89" t="str">
            <v/>
          </cell>
          <cell r="T89">
            <v>5.1399832991588901E-2</v>
          </cell>
          <cell r="U89">
            <v>8.5567232170741581E-2</v>
          </cell>
          <cell r="V89">
            <v>0.14591688165505801</v>
          </cell>
          <cell r="W89" t="str">
            <v/>
          </cell>
          <cell r="X89">
            <v>1.6292681098082351E-3</v>
          </cell>
          <cell r="Y89">
            <v>3.299146414298848E-3</v>
          </cell>
          <cell r="Z89">
            <v>9.7188829478886962E-3</v>
          </cell>
          <cell r="AA89">
            <v>2.1086709621949695E-2</v>
          </cell>
          <cell r="AB89" t="str">
            <v/>
          </cell>
          <cell r="AC89">
            <v>5.3910977162387685E-2</v>
          </cell>
          <cell r="AD89">
            <v>8.968916491285972E-2</v>
          </cell>
          <cell r="AE89">
            <v>0.15278007239158675</v>
          </cell>
        </row>
        <row r="90">
          <cell r="D90" t="str">
            <v>EUR</v>
          </cell>
          <cell r="N90" t="str">
            <v/>
          </cell>
          <cell r="O90">
            <v>3.6399520350638426E-4</v>
          </cell>
          <cell r="P90">
            <v>1.2252857733764388E-3</v>
          </cell>
          <cell r="Q90">
            <v>5.1912354274938899E-3</v>
          </cell>
          <cell r="R90">
            <v>1.1405736164489033E-2</v>
          </cell>
          <cell r="S90" t="str">
            <v/>
          </cell>
          <cell r="T90">
            <v>2.940162285024106E-2</v>
          </cell>
          <cell r="U90">
            <v>5.0766836941785853E-2</v>
          </cell>
          <cell r="V90">
            <v>9.5424992314393053E-2</v>
          </cell>
          <cell r="W90" t="str">
            <v/>
          </cell>
          <cell r="X90">
            <v>4.4729473304006007E-4</v>
          </cell>
          <cell r="Y90">
            <v>1.3917343546390182E-3</v>
          </cell>
          <cell r="Z90">
            <v>5.5227830880192341E-3</v>
          </cell>
          <cell r="AA90">
            <v>1.1949313512110926E-2</v>
          </cell>
          <cell r="AB90" t="str">
            <v/>
          </cell>
          <cell r="AC90">
            <v>3.0844616145261128E-2</v>
          </cell>
          <cell r="AD90">
            <v>5.3243388831790583E-2</v>
          </cell>
          <cell r="AE90">
            <v>0.10001736690194885</v>
          </cell>
        </row>
        <row r="91">
          <cell r="D91" t="str">
            <v>EUR</v>
          </cell>
          <cell r="N91" t="str">
            <v/>
          </cell>
          <cell r="O91">
            <v>1.0006687817649684E-3</v>
          </cell>
          <cell r="P91">
            <v>1.9143876201054288E-3</v>
          </cell>
          <cell r="Q91">
            <v>5.499545431723929E-3</v>
          </cell>
          <cell r="R91">
            <v>1.1877747415419693E-2</v>
          </cell>
          <cell r="S91" t="str">
            <v/>
          </cell>
          <cell r="T91">
            <v>3.1972226584576102E-2</v>
          </cell>
          <cell r="U91">
            <v>5.1671715547433328E-2</v>
          </cell>
          <cell r="V91">
            <v>9.2951371900018787E-2</v>
          </cell>
          <cell r="W91" t="str">
            <v/>
          </cell>
          <cell r="X91">
            <v>1.0839152573786093E-3</v>
          </cell>
          <cell r="Y91">
            <v>2.0807213606326425E-3</v>
          </cell>
          <cell r="Z91">
            <v>5.8309903393635176E-3</v>
          </cell>
          <cell r="AA91">
            <v>1.2445754393001773E-2</v>
          </cell>
          <cell r="AB91" t="str">
            <v/>
          </cell>
          <cell r="AC91">
            <v>3.3543216024687572E-2</v>
          </cell>
          <cell r="AD91">
            <v>5.4193336446687446E-2</v>
          </cell>
          <cell r="AE91">
            <v>9.7424327802114852E-2</v>
          </cell>
        </row>
        <row r="92">
          <cell r="D92" t="str">
            <v>EUR</v>
          </cell>
          <cell r="N92" t="str">
            <v/>
          </cell>
          <cell r="O92">
            <v>5.4594323121426314E-4</v>
          </cell>
          <cell r="P92">
            <v>1.2208758015412879E-3</v>
          </cell>
          <cell r="Q92">
            <v>4.1396751096509643E-3</v>
          </cell>
          <cell r="R92">
            <v>8.798203266675797E-3</v>
          </cell>
          <cell r="S92" t="str">
            <v/>
          </cell>
          <cell r="T92">
            <v>2.3398560041828165E-2</v>
          </cell>
          <cell r="U92">
            <v>4.2607313031998828E-2</v>
          </cell>
          <cell r="V92">
            <v>8.0489045192361552E-2</v>
          </cell>
          <cell r="W92" t="str">
            <v/>
          </cell>
          <cell r="X92">
            <v>6.2922759904748826E-4</v>
          </cell>
          <cell r="Y92">
            <v>1.3873251177468626E-3</v>
          </cell>
          <cell r="Z92">
            <v>4.471573231844661E-3</v>
          </cell>
          <cell r="AA92">
            <v>9.2936802854770573E-3</v>
          </cell>
          <cell r="AB92" t="str">
            <v/>
          </cell>
          <cell r="AC92">
            <v>2.454004281251676E-2</v>
          </cell>
          <cell r="AD92">
            <v>4.4684107248175731E-2</v>
          </cell>
          <cell r="AE92">
            <v>8.4355976084544704E-2</v>
          </cell>
        </row>
        <row r="93">
          <cell r="D93" t="str">
            <v>EUR</v>
          </cell>
          <cell r="N93" t="str">
            <v/>
          </cell>
          <cell r="O93">
            <v>8.1880333056005838E-4</v>
          </cell>
          <cell r="P93">
            <v>4.2071858450489774E-3</v>
          </cell>
          <cell r="Q93">
            <v>1.203433293295908E-2</v>
          </cell>
          <cell r="R93">
            <v>2.3090804824646982E-2</v>
          </cell>
          <cell r="S93" t="str">
            <v/>
          </cell>
          <cell r="T93">
            <v>5.7994814483914414E-2</v>
          </cell>
          <cell r="U93">
            <v>9.6945875579857343E-2</v>
          </cell>
          <cell r="V93">
            <v>0.16465033692073983</v>
          </cell>
          <cell r="W93" t="str">
            <v/>
          </cell>
          <cell r="X93">
            <v>9.0206496099309863E-4</v>
          </cell>
          <cell r="Y93">
            <v>4.4063244933553181E-3</v>
          </cell>
          <cell r="Z93">
            <v>1.2632071103079623E-2</v>
          </cell>
          <cell r="AA93">
            <v>2.4233271034812542E-2</v>
          </cell>
          <cell r="AB93" t="str">
            <v/>
          </cell>
          <cell r="AC93">
            <v>6.0816943849694827E-2</v>
          </cell>
          <cell r="AD93">
            <v>0.10158882508180656</v>
          </cell>
          <cell r="AE93">
            <v>0.17232627854247629</v>
          </cell>
        </row>
        <row r="94">
          <cell r="D94" t="str">
            <v>EUR</v>
          </cell>
          <cell r="N94" t="str">
            <v/>
          </cell>
          <cell r="O94">
            <v>6.3690485549472431E-4</v>
          </cell>
          <cell r="P94">
            <v>1.7471884482904709E-3</v>
          </cell>
          <cell r="Q94">
            <v>6.9095035615924782E-3</v>
          </cell>
          <cell r="R94">
            <v>1.6061436711826915E-2</v>
          </cell>
          <cell r="S94" t="str">
            <v/>
          </cell>
          <cell r="T94">
            <v>4.1353334357717153E-2</v>
          </cell>
          <cell r="U94">
            <v>7.0772774391985926E-2</v>
          </cell>
          <cell r="V94">
            <v>0.124246980705634</v>
          </cell>
          <cell r="W94" t="str">
            <v/>
          </cell>
          <cell r="X94">
            <v>7.2018164349907376E-4</v>
          </cell>
          <cell r="Y94">
            <v>1.9135500530244043E-3</v>
          </cell>
          <cell r="Z94">
            <v>7.2404785615145517E-3</v>
          </cell>
          <cell r="AA94">
            <v>1.6855753085763481E-2</v>
          </cell>
          <cell r="AB94" t="str">
            <v/>
          </cell>
          <cell r="AC94">
            <v>4.3379727684677793E-2</v>
          </cell>
          <cell r="AD94">
            <v>7.4202780499159404E-2</v>
          </cell>
          <cell r="AE94">
            <v>0.13015196476705837</v>
          </cell>
        </row>
        <row r="95">
          <cell r="D95" t="str">
            <v>EUR</v>
          </cell>
          <cell r="N95" t="str">
            <v/>
          </cell>
          <cell r="O95">
            <v>4.5497334759936336E-4</v>
          </cell>
          <cell r="P95">
            <v>1.0468631450375465E-3</v>
          </cell>
          <cell r="Q95">
            <v>4.8461429509855103E-3</v>
          </cell>
          <cell r="R95">
            <v>9.8352420499794313E-3</v>
          </cell>
          <cell r="S95" t="str">
            <v/>
          </cell>
          <cell r="T95">
            <v>2.597470599033902E-2</v>
          </cell>
          <cell r="U95">
            <v>4.6111659285171358E-2</v>
          </cell>
          <cell r="V95">
            <v>8.7173261055529361E-2</v>
          </cell>
          <cell r="W95" t="str">
            <v/>
          </cell>
          <cell r="X95">
            <v>5.3826529594969141E-4</v>
          </cell>
          <cell r="Y95">
            <v>1.2133414609432069E-3</v>
          </cell>
          <cell r="Z95">
            <v>5.1778056231679415E-3</v>
          </cell>
          <cell r="AA95">
            <v>1.0330200678976054E-2</v>
          </cell>
          <cell r="AB95" t="str">
            <v/>
          </cell>
          <cell r="AC95">
            <v>2.7247255250252289E-2</v>
          </cell>
          <cell r="AD95">
            <v>4.8362065363106721E-2</v>
          </cell>
          <cell r="AE95">
            <v>9.1379661023856862E-2</v>
          </cell>
        </row>
        <row r="96">
          <cell r="D96" t="str">
            <v>EUR</v>
          </cell>
          <cell r="N96" t="str">
            <v/>
          </cell>
          <cell r="O96">
            <v>8.1880333056005838E-4</v>
          </cell>
          <cell r="P96">
            <v>1.5665899374458503E-3</v>
          </cell>
          <cell r="Q96">
            <v>6.2139127688000118E-3</v>
          </cell>
          <cell r="R96">
            <v>1.1861773504699746E-2</v>
          </cell>
          <cell r="S96" t="str">
            <v/>
          </cell>
          <cell r="T96">
            <v>3.1955625367104612E-2</v>
          </cell>
          <cell r="U96">
            <v>5.1654982160065699E-2</v>
          </cell>
          <cell r="V96">
            <v>9.1058886813918716E-2</v>
          </cell>
          <cell r="W96" t="str">
            <v/>
          </cell>
          <cell r="X96">
            <v>9.0206496099309863E-4</v>
          </cell>
          <cell r="Y96">
            <v>1.732981639423592E-3</v>
          </cell>
          <cell r="Z96">
            <v>6.5451195936672146E-3</v>
          </cell>
          <cell r="AA96">
            <v>1.2429789664646917E-2</v>
          </cell>
          <cell r="AB96" t="str">
            <v/>
          </cell>
          <cell r="AC96">
            <v>3.3526521335011217E-2</v>
          </cell>
          <cell r="AD96">
            <v>5.417650481307057E-2</v>
          </cell>
          <cell r="AE96">
            <v>9.541850550731279E-2</v>
          </cell>
        </row>
        <row r="97">
          <cell r="D97" t="str">
            <v>EUR</v>
          </cell>
          <cell r="N97" t="str">
            <v/>
          </cell>
          <cell r="O97">
            <v>6.3690485549472431E-4</v>
          </cell>
          <cell r="P97">
            <v>2.9798841053704228E-3</v>
          </cell>
          <cell r="Q97">
            <v>9.3031041357577449E-3</v>
          </cell>
          <cell r="R97">
            <v>1.8009674103833584E-2</v>
          </cell>
          <cell r="S97" t="str">
            <v/>
          </cell>
          <cell r="T97">
            <v>4.1015694703361083E-2</v>
          </cell>
          <cell r="U97">
            <v>6.7873038361055182E-2</v>
          </cell>
          <cell r="V97">
            <v>0.11493522657390387</v>
          </cell>
          <cell r="W97" t="str">
            <v/>
          </cell>
          <cell r="X97">
            <v>7.2018164349907376E-4</v>
          </cell>
          <cell r="Y97">
            <v>3.1460402779561747E-3</v>
          </cell>
          <cell r="Z97">
            <v>9.748817445875968E-3</v>
          </cell>
          <cell r="AA97">
            <v>1.8902110662522786E-2</v>
          </cell>
          <cell r="AB97" t="str">
            <v/>
          </cell>
          <cell r="AC97">
            <v>4.302652702749088E-2</v>
          </cell>
          <cell r="AD97">
            <v>7.1164336069355127E-2</v>
          </cell>
          <cell r="AE97">
            <v>0.12040775081539934</v>
          </cell>
        </row>
        <row r="98">
          <cell r="D98" t="str">
            <v>EUR</v>
          </cell>
          <cell r="N98" t="str">
            <v/>
          </cell>
          <cell r="O98">
            <v>2.7300879781333443E-4</v>
          </cell>
          <cell r="P98">
            <v>8.7500955172725714E-4</v>
          </cell>
          <cell r="Q98">
            <v>3.1108231577661183E-3</v>
          </cell>
          <cell r="R98">
            <v>6.7416033755676175E-3</v>
          </cell>
          <cell r="S98" t="str">
            <v/>
          </cell>
          <cell r="T98">
            <v>1.8252267651842846E-2</v>
          </cell>
          <cell r="U98">
            <v>3.2980139891199078E-2</v>
          </cell>
          <cell r="V98">
            <v>5.9617673928796133E-2</v>
          </cell>
          <cell r="W98" t="str">
            <v/>
          </cell>
          <cell r="X98">
            <v>3.5631590924090073E-4</v>
          </cell>
          <cell r="Y98">
            <v>1.0415165074959543E-3</v>
          </cell>
          <cell r="Z98">
            <v>3.443064173448751E-3</v>
          </cell>
          <cell r="AA98">
            <v>7.2381084372733495E-3</v>
          </cell>
          <cell r="AB98" t="str">
            <v/>
          </cell>
          <cell r="AC98">
            <v>1.9110921201918041E-2</v>
          </cell>
          <cell r="AD98">
            <v>3.4581562293729329E-2</v>
          </cell>
          <cell r="AE98">
            <v>6.2495611273053808E-2</v>
          </cell>
        </row>
        <row r="99">
          <cell r="D99" t="str">
            <v>EUR</v>
          </cell>
          <cell r="N99" t="str">
            <v/>
          </cell>
          <cell r="O99">
            <v>1.5006285667249486E-3</v>
          </cell>
          <cell r="P99">
            <v>4.4182686145607386E-3</v>
          </cell>
          <cell r="Q99">
            <v>1.1069803763835817E-2</v>
          </cell>
          <cell r="R99">
            <v>1.8052033723615857E-2</v>
          </cell>
          <cell r="S99" t="str">
            <v/>
          </cell>
          <cell r="T99">
            <v>3.5519194590963421E-2</v>
          </cell>
          <cell r="U99">
            <v>5.4166762774260468E-2</v>
          </cell>
          <cell r="V99">
            <v>8.3458438819112968E-2</v>
          </cell>
          <cell r="W99" t="str">
            <v/>
          </cell>
          <cell r="X99">
            <v>1.5838333807624005E-3</v>
          </cell>
          <cell r="Y99">
            <v>4.6281483039986027E-3</v>
          </cell>
          <cell r="Z99">
            <v>1.162054228056264E-2</v>
          </cell>
          <cell r="AA99">
            <v>1.8947082541980742E-2</v>
          </cell>
          <cell r="AB99" t="str">
            <v/>
          </cell>
          <cell r="AC99">
            <v>3.726393313724341E-2</v>
          </cell>
          <cell r="AD99">
            <v>5.6804911884540399E-2</v>
          </cell>
          <cell r="AE99">
            <v>8.7456622839623854E-2</v>
          </cell>
        </row>
        <row r="100">
          <cell r="D100" t="str">
            <v>EUR</v>
          </cell>
          <cell r="N100" t="str">
            <v/>
          </cell>
          <cell r="O100">
            <v>3.6399520350638426E-4</v>
          </cell>
          <cell r="P100">
            <v>1.2252857733764388E-3</v>
          </cell>
          <cell r="Q100">
            <v>4.14415820314884E-3</v>
          </cell>
          <cell r="R100">
            <v>7.2100918954982607E-3</v>
          </cell>
          <cell r="S100" t="str">
            <v/>
          </cell>
          <cell r="T100">
            <v>1.8150120947181492E-2</v>
          </cell>
          <cell r="U100">
            <v>3.0269036667314397E-2</v>
          </cell>
          <cell r="V100">
            <v>5.2121559144953977E-2</v>
          </cell>
          <cell r="W100" t="str">
            <v/>
          </cell>
          <cell r="X100">
            <v>4.4729473304006007E-4</v>
          </cell>
          <cell r="Y100">
            <v>1.3917343546390182E-3</v>
          </cell>
          <cell r="Z100">
            <v>4.4760548312168247E-3</v>
          </cell>
          <cell r="AA100">
            <v>7.7063627714937244E-3</v>
          </cell>
          <cell r="AB100" t="str">
            <v/>
          </cell>
          <cell r="AC100">
            <v>1.9008863836553536E-2</v>
          </cell>
          <cell r="AD100">
            <v>3.1742557334008548E-2</v>
          </cell>
          <cell r="AE100">
            <v>5.4645835634262618E-2</v>
          </cell>
        </row>
        <row r="101">
          <cell r="D101" t="str">
            <v>EUR</v>
          </cell>
          <cell r="N101" t="str">
            <v/>
          </cell>
          <cell r="O101">
            <v>5.4594323121426314E-4</v>
          </cell>
          <cell r="P101">
            <v>2.6300265232999109E-3</v>
          </cell>
          <cell r="Q101">
            <v>7.9256132638849675E-3</v>
          </cell>
          <cell r="R101">
            <v>1.756594285738966E-2</v>
          </cell>
          <cell r="S101" t="str">
            <v/>
          </cell>
          <cell r="T101">
            <v>4.556317703312962E-2</v>
          </cell>
          <cell r="U101">
            <v>7.8992705273699393E-2</v>
          </cell>
          <cell r="V101">
            <v>0.13891191075447384</v>
          </cell>
          <cell r="W101" t="str">
            <v/>
          </cell>
          <cell r="X101">
            <v>6.2922759904748826E-4</v>
          </cell>
          <cell r="Y101">
            <v>2.7962410006150407E-3</v>
          </cell>
          <cell r="Z101">
            <v>8.3058355648802928E-3</v>
          </cell>
          <cell r="AA101">
            <v>1.8435908659315881E-2</v>
          </cell>
          <cell r="AB101" t="str">
            <v/>
          </cell>
          <cell r="AC101">
            <v>4.7793247674854711E-2</v>
          </cell>
          <cell r="AD101">
            <v>8.2809516130359584E-2</v>
          </cell>
          <cell r="AE101">
            <v>0.14547664022731999</v>
          </cell>
        </row>
        <row r="102">
          <cell r="D102" t="str">
            <v>EUR</v>
          </cell>
          <cell r="N102" t="str">
            <v/>
          </cell>
          <cell r="O102">
            <v>3.6399520350638426E-4</v>
          </cell>
          <cell r="P102">
            <v>8.728201724156337E-4</v>
          </cell>
          <cell r="Q102">
            <v>3.1086041784720297E-3</v>
          </cell>
          <cell r="R102">
            <v>6.2079837368382851E-3</v>
          </cell>
          <cell r="S102" t="str">
            <v/>
          </cell>
          <cell r="T102">
            <v>1.7391619350680565E-2</v>
          </cell>
          <cell r="U102">
            <v>3.0498186153993467E-2</v>
          </cell>
          <cell r="V102">
            <v>5.8164596157407322E-2</v>
          </cell>
          <cell r="W102" t="str">
            <v/>
          </cell>
          <cell r="X102">
            <v>4.4729473304006007E-4</v>
          </cell>
          <cell r="Y102">
            <v>1.0393274930516894E-3</v>
          </cell>
          <cell r="Z102">
            <v>3.4408459337169628E-3</v>
          </cell>
          <cell r="AA102">
            <v>6.7047555416595017E-3</v>
          </cell>
          <cell r="AB102" t="str">
            <v/>
          </cell>
          <cell r="AC102">
            <v>1.8210118579164214E-2</v>
          </cell>
          <cell r="AD102">
            <v>3.1976456873183068E-2</v>
          </cell>
          <cell r="AE102">
            <v>6.0971822487001948E-2</v>
          </cell>
        </row>
        <row r="103">
          <cell r="D103" t="str">
            <v>EUR</v>
          </cell>
          <cell r="N103" t="str">
            <v/>
          </cell>
          <cell r="O103">
            <v>4.5497334759936336E-4</v>
          </cell>
          <cell r="P103">
            <v>8.7063095825812287E-4</v>
          </cell>
          <cell r="Q103">
            <v>3.1063853322998991E-3</v>
          </cell>
          <cell r="R103">
            <v>6.7371092801036259E-3</v>
          </cell>
          <cell r="S103" t="str">
            <v/>
          </cell>
          <cell r="T103">
            <v>1.7351349621736234E-2</v>
          </cell>
          <cell r="U103">
            <v>3.0457589722358347E-2</v>
          </cell>
          <cell r="V103">
            <v>4.8430815919560777E-2</v>
          </cell>
          <cell r="W103" t="str">
            <v/>
          </cell>
          <cell r="X103">
            <v>5.3826529594969141E-4</v>
          </cell>
          <cell r="Y103">
            <v>1.0371386437357799E-3</v>
          </cell>
          <cell r="Z103">
            <v>3.4386278270243098E-3</v>
          </cell>
          <cell r="AA103">
            <v>7.2336165882755932E-3</v>
          </cell>
          <cell r="AB103" t="str">
            <v/>
          </cell>
          <cell r="AC103">
            <v>1.8169882394376002E-2</v>
          </cell>
          <cell r="AD103">
            <v>3.193570911254906E-2</v>
          </cell>
          <cell r="AE103">
            <v>5.0773604550349849E-2</v>
          </cell>
        </row>
        <row r="104">
          <cell r="D104" t="str">
            <v>EUR</v>
          </cell>
          <cell r="N104" t="str">
            <v/>
          </cell>
          <cell r="O104">
            <v>2.7300879781333443E-4</v>
          </cell>
          <cell r="P104">
            <v>1.9322784153437134E-3</v>
          </cell>
          <cell r="Q104">
            <v>5.1688847607316291E-3</v>
          </cell>
          <cell r="R104">
            <v>1.0322608067131034E-2</v>
          </cell>
          <cell r="S104" t="str">
            <v/>
          </cell>
          <cell r="T104">
            <v>2.499893541830156E-2</v>
          </cell>
          <cell r="U104">
            <v>4.3529473532226137E-2</v>
          </cell>
          <cell r="V104">
            <v>7.8011746643757984E-2</v>
          </cell>
          <cell r="W104" t="str">
            <v/>
          </cell>
          <cell r="X104">
            <v>3.5631590924090073E-4</v>
          </cell>
          <cell r="Y104">
            <v>2.0986091743264712E-3</v>
          </cell>
          <cell r="Z104">
            <v>5.500439870238738E-3</v>
          </cell>
          <cell r="AA104">
            <v>1.0817323074053364E-2</v>
          </cell>
          <cell r="AB104" t="str">
            <v/>
          </cell>
          <cell r="AC104">
            <v>2.6227564779387147E-2</v>
          </cell>
          <cell r="AD104">
            <v>4.565868028189668E-2</v>
          </cell>
          <cell r="AE104">
            <v>8.1769034891154613E-2</v>
          </cell>
        </row>
        <row r="105">
          <cell r="D105" t="str">
            <v>EUR</v>
          </cell>
          <cell r="N105" t="str">
            <v/>
          </cell>
          <cell r="O105">
            <v>2.7300879781333443E-4</v>
          </cell>
          <cell r="P105">
            <v>8.7500955172725714E-4</v>
          </cell>
          <cell r="Q105">
            <v>3.1108231577661183E-3</v>
          </cell>
          <cell r="R105">
            <v>6.7416033755676175E-3</v>
          </cell>
          <cell r="S105" t="str">
            <v/>
          </cell>
          <cell r="T105">
            <v>1.8252267651842846E-2</v>
          </cell>
          <cell r="U105">
            <v>3.2980139891199078E-2</v>
          </cell>
          <cell r="V105">
            <v>5.9617673928796133E-2</v>
          </cell>
          <cell r="W105" t="str">
            <v/>
          </cell>
          <cell r="X105">
            <v>3.5631590924090073E-4</v>
          </cell>
          <cell r="Y105">
            <v>1.0415165074959543E-3</v>
          </cell>
          <cell r="Z105">
            <v>3.443064173448751E-3</v>
          </cell>
          <cell r="AA105">
            <v>7.2381084372733495E-3</v>
          </cell>
          <cell r="AB105" t="str">
            <v/>
          </cell>
          <cell r="AC105">
            <v>1.9110921201918041E-2</v>
          </cell>
          <cell r="AD105">
            <v>3.4581562293729329E-2</v>
          </cell>
          <cell r="AE105">
            <v>6.2495611273053808E-2</v>
          </cell>
        </row>
        <row r="106">
          <cell r="D106" t="str">
            <v>EUR</v>
          </cell>
          <cell r="N106" t="str">
            <v/>
          </cell>
          <cell r="O106">
            <v>8.1880333056005838E-4</v>
          </cell>
          <cell r="P106">
            <v>1.5665899374458503E-3</v>
          </cell>
          <cell r="Q106">
            <v>6.2139127688000118E-3</v>
          </cell>
          <cell r="R106">
            <v>1.3450755339839193E-2</v>
          </cell>
          <cell r="S106" t="str">
            <v/>
          </cell>
          <cell r="T106">
            <v>3.7164964361995012E-2</v>
          </cell>
          <cell r="U106">
            <v>6.5107292070126666E-2</v>
          </cell>
          <cell r="V106">
            <v>0.10907420872491902</v>
          </cell>
          <cell r="W106" t="str">
            <v/>
          </cell>
          <cell r="X106">
            <v>9.0206496099309863E-4</v>
          </cell>
          <cell r="Y106">
            <v>1.732981639423592E-3</v>
          </cell>
          <cell r="Z106">
            <v>6.5451195936672146E-3</v>
          </cell>
          <cell r="AA106">
            <v>1.4114171582807034E-2</v>
          </cell>
          <cell r="AB106" t="str">
            <v/>
          </cell>
          <cell r="AC106">
            <v>3.8987506923284454E-2</v>
          </cell>
          <cell r="AD106">
            <v>6.8269902701745266E-2</v>
          </cell>
          <cell r="AE106">
            <v>0.11428393268806536</v>
          </cell>
        </row>
        <row r="107">
          <cell r="D107" t="str">
            <v>EUR</v>
          </cell>
          <cell r="N107" t="str">
            <v/>
          </cell>
          <cell r="O107">
            <v>2.7300879781333443E-4</v>
          </cell>
          <cell r="P107">
            <v>8.7500955172725714E-4</v>
          </cell>
          <cell r="Q107">
            <v>4.1585788015882086E-3</v>
          </cell>
          <cell r="R107">
            <v>8.2865471124773382E-3</v>
          </cell>
          <cell r="S107" t="str">
            <v/>
          </cell>
          <cell r="T107">
            <v>2.2563160810736282E-2</v>
          </cell>
          <cell r="U107">
            <v>4.14615489121124E-2</v>
          </cell>
          <cell r="V107">
            <v>7.6991141043958322E-2</v>
          </cell>
          <cell r="W107" t="str">
            <v/>
          </cell>
          <cell r="X107">
            <v>3.5631590924090073E-4</v>
          </cell>
          <cell r="Y107">
            <v>1.0415165074959543E-3</v>
          </cell>
          <cell r="Z107">
            <v>4.490470623601861E-3</v>
          </cell>
          <cell r="AA107">
            <v>8.7822798954131365E-3</v>
          </cell>
          <cell r="AB107" t="str">
            <v/>
          </cell>
          <cell r="AC107">
            <v>2.3660913759846802E-2</v>
          </cell>
          <cell r="AD107">
            <v>4.3480368056037499E-2</v>
          </cell>
          <cell r="AE107">
            <v>8.0692468527198802E-2</v>
          </cell>
        </row>
        <row r="108">
          <cell r="D108" t="str">
            <v>EUR</v>
          </cell>
          <cell r="N108" t="str">
            <v/>
          </cell>
          <cell r="O108">
            <v>6.3690485549472431E-4</v>
          </cell>
          <cell r="P108">
            <v>1.923331669516859E-3</v>
          </cell>
          <cell r="Q108">
            <v>6.9032421808277178E-3</v>
          </cell>
          <cell r="R108">
            <v>1.4996900424032678E-2</v>
          </cell>
          <cell r="S108" t="str">
            <v/>
          </cell>
          <cell r="T108">
            <v>4.2314780791213424E-2</v>
          </cell>
          <cell r="U108">
            <v>7.2029052176790564E-2</v>
          </cell>
          <cell r="V108">
            <v>0.12216569178247572</v>
          </cell>
          <cell r="W108" t="str">
            <v/>
          </cell>
          <cell r="X108">
            <v>7.2018164349907376E-4</v>
          </cell>
          <cell r="Y108">
            <v>2.0896639194951661E-3</v>
          </cell>
          <cell r="Z108">
            <v>7.2342192675115546E-3</v>
          </cell>
          <cell r="AA108">
            <v>1.5738818758722628E-2</v>
          </cell>
          <cell r="AB108" t="str">
            <v/>
          </cell>
          <cell r="AC108">
            <v>4.4388074889345486E-2</v>
          </cell>
          <cell r="AD108">
            <v>7.5519551108685246E-2</v>
          </cell>
          <cell r="AE108">
            <v>0.12797164354408619</v>
          </cell>
        </row>
        <row r="109">
          <cell r="D109" t="str">
            <v>EUR</v>
          </cell>
          <cell r="N109" t="str">
            <v/>
          </cell>
          <cell r="O109">
            <v>3.6399520350638426E-4</v>
          </cell>
          <cell r="P109">
            <v>1.5776928696848991E-3</v>
          </cell>
          <cell r="Q109">
            <v>4.8300036012460801E-3</v>
          </cell>
          <cell r="R109">
            <v>8.7578517722344262E-3</v>
          </cell>
          <cell r="S109" t="str">
            <v/>
          </cell>
          <cell r="T109">
            <v>2.156941971103199E-2</v>
          </cell>
          <cell r="U109">
            <v>3.4954312096123541E-2</v>
          </cell>
          <cell r="V109">
            <v>5.8630790834494517E-2</v>
          </cell>
          <cell r="W109" t="str">
            <v/>
          </cell>
          <cell r="X109">
            <v>4.4729473304006007E-4</v>
          </cell>
          <cell r="Y109">
            <v>1.7440827213339727E-3</v>
          </cell>
          <cell r="Z109">
            <v>5.161671652306743E-3</v>
          </cell>
          <cell r="AA109">
            <v>9.2533489617411258E-3</v>
          </cell>
          <cell r="AB109" t="str">
            <v/>
          </cell>
          <cell r="AC109">
            <v>2.2623035431614147E-2</v>
          </cell>
          <cell r="AD109">
            <v>3.6661117150498357E-2</v>
          </cell>
          <cell r="AE109">
            <v>6.146876160227055E-2</v>
          </cell>
        </row>
        <row r="110">
          <cell r="D110" t="str">
            <v>EUR</v>
          </cell>
          <cell r="N110" t="str">
            <v/>
          </cell>
          <cell r="O110">
            <v>7.2785822158416558E-4</v>
          </cell>
          <cell r="P110">
            <v>1.3926456526700548E-3</v>
          </cell>
          <cell r="Q110">
            <v>5.8736778859322936E-3</v>
          </cell>
          <cell r="R110">
            <v>1.1887007381752746E-2</v>
          </cell>
          <cell r="S110" t="str">
            <v/>
          </cell>
          <cell r="T110">
            <v>3.6426278175076598E-2</v>
          </cell>
          <cell r="U110">
            <v>6.4072825977876446E-2</v>
          </cell>
          <cell r="V110">
            <v>0.11139413074854643</v>
          </cell>
          <cell r="W110" t="str">
            <v/>
          </cell>
          <cell r="X110">
            <v>8.1112743046984903E-4</v>
          </cell>
          <cell r="Y110">
            <v>1.559066342956994E-3</v>
          </cell>
          <cell r="Z110">
            <v>6.2049981035311452E-3</v>
          </cell>
          <cell r="AA110">
            <v>1.2455009036394404E-2</v>
          </cell>
          <cell r="AB110" t="str">
            <v/>
          </cell>
          <cell r="AC110">
            <v>3.8213375228570712E-2</v>
          </cell>
          <cell r="AD110">
            <v>6.7187808052849074E-2</v>
          </cell>
          <cell r="AE110">
            <v>0.11671738283544819</v>
          </cell>
        </row>
        <row r="111">
          <cell r="D111" t="str">
            <v>EUR</v>
          </cell>
          <cell r="N111" t="str">
            <v/>
          </cell>
          <cell r="O111">
            <v>1.4551879894108E-3</v>
          </cell>
          <cell r="P111">
            <v>3.3112610151497801E-3</v>
          </cell>
          <cell r="Q111">
            <v>8.2251805402145939E-3</v>
          </cell>
          <cell r="R111">
            <v>1.3799020835194242E-2</v>
          </cell>
          <cell r="S111" t="str">
            <v/>
          </cell>
          <cell r="T111">
            <v>2.805377384705865E-2</v>
          </cell>
          <cell r="U111">
            <v>4.3291779259459151E-2</v>
          </cell>
          <cell r="V111">
            <v>6.9372419203202362E-2</v>
          </cell>
          <cell r="W111" t="str">
            <v/>
          </cell>
          <cell r="X111">
            <v>1.5383965899991026E-3</v>
          </cell>
          <cell r="Y111">
            <v>3.477361962851977E-3</v>
          </cell>
          <cell r="Z111">
            <v>8.6218111365963246E-3</v>
          </cell>
          <cell r="AA111">
            <v>1.4484787646105612E-2</v>
          </cell>
          <cell r="AB111" t="str">
            <v/>
          </cell>
          <cell r="AC111">
            <v>2.943752043557657E-2</v>
          </cell>
          <cell r="AD111">
            <v>4.5412573939614398E-2</v>
          </cell>
          <cell r="AE111">
            <v>7.2723829317179467E-2</v>
          </cell>
        </row>
        <row r="112">
          <cell r="D112" t="str">
            <v>EUR</v>
          </cell>
          <cell r="N112" t="str">
            <v/>
          </cell>
          <cell r="O112">
            <v>6.3690485549472431E-4</v>
          </cell>
          <cell r="P112">
            <v>2.4516736389891269E-3</v>
          </cell>
          <cell r="Q112">
            <v>8.6260935930545513E-3</v>
          </cell>
          <cell r="R112">
            <v>1.8592082683634992E-2</v>
          </cell>
          <cell r="S112" t="str">
            <v/>
          </cell>
          <cell r="T112">
            <v>4.809405868603589E-2</v>
          </cell>
          <cell r="U112">
            <v>8.3659137962235341E-2</v>
          </cell>
          <cell r="V112">
            <v>0.14509939247422043</v>
          </cell>
          <cell r="W112" t="str">
            <v/>
          </cell>
          <cell r="X112">
            <v>7.2018164349907376E-4</v>
          </cell>
          <cell r="Y112">
            <v>2.617917839319861E-3</v>
          </cell>
          <cell r="Z112">
            <v>9.0390800092465806E-3</v>
          </cell>
          <cell r="AA112">
            <v>1.9512503821599969E-2</v>
          </cell>
          <cell r="AB112" t="str">
            <v/>
          </cell>
          <cell r="AC112">
            <v>5.0445165824277827E-2</v>
          </cell>
          <cell r="AD112">
            <v>8.7693069362573706E-2</v>
          </cell>
          <cell r="AE112">
            <v>0.15193509632039537</v>
          </cell>
        </row>
        <row r="113">
          <cell r="D113" t="str">
            <v>EUR</v>
          </cell>
          <cell r="N113" t="str">
            <v/>
          </cell>
          <cell r="O113">
            <v>1.091589126235637E-3</v>
          </cell>
          <cell r="P113">
            <v>2.9684668899444544E-3</v>
          </cell>
          <cell r="Q113">
            <v>1.0682715075234772E-2</v>
          </cell>
          <cell r="R113">
            <v>2.109367145122254E-2</v>
          </cell>
          <cell r="S113" t="str">
            <v/>
          </cell>
          <cell r="T113">
            <v>4.3331989401742099E-2</v>
          </cell>
          <cell r="U113">
            <v>7.2347892246412138E-2</v>
          </cell>
          <cell r="V113">
            <v>0.13032522371301092</v>
          </cell>
          <cell r="W113" t="str">
            <v/>
          </cell>
          <cell r="X113">
            <v>1.1748280254821886E-3</v>
          </cell>
          <cell r="Y113">
            <v>3.1346249652464131E-3</v>
          </cell>
          <cell r="Z113">
            <v>1.1212930526961151E-2</v>
          </cell>
          <cell r="AA113">
            <v>2.2137718863374456E-2</v>
          </cell>
          <cell r="AB113" t="str">
            <v/>
          </cell>
          <cell r="AC113">
            <v>4.5452899452584572E-2</v>
          </cell>
          <cell r="AD113">
            <v>7.5846740274256197E-2</v>
          </cell>
          <cell r="AE113">
            <v>0.13650009953722131</v>
          </cell>
        </row>
        <row r="114">
          <cell r="D114" t="str">
            <v>EUR</v>
          </cell>
          <cell r="N114" t="str">
            <v/>
          </cell>
          <cell r="O114">
            <v>1.6369379279012053E-3</v>
          </cell>
          <cell r="P114">
            <v>3.6584998327878759E-3</v>
          </cell>
          <cell r="Q114">
            <v>7.8598095114118527E-3</v>
          </cell>
          <cell r="R114">
            <v>1.3798394770760725E-2</v>
          </cell>
          <cell r="S114" t="str">
            <v/>
          </cell>
          <cell r="T114">
            <v>3.2497406653071326E-2</v>
          </cell>
          <cell r="U114">
            <v>5.5076403398969687E-2</v>
          </cell>
          <cell r="V114">
            <v>9.7615497599739198E-2</v>
          </cell>
          <cell r="W114" t="str">
            <v/>
          </cell>
          <cell r="X114">
            <v>1.720131383295409E-3</v>
          </cell>
          <cell r="Y114">
            <v>3.83284433973341E-3</v>
          </cell>
          <cell r="Z114">
            <v>8.2400570323377664E-3</v>
          </cell>
          <cell r="AA114">
            <v>1.4484624687851611E-2</v>
          </cell>
          <cell r="AB114" t="str">
            <v/>
          </cell>
          <cell r="AC114">
            <v>3.4098333818241566E-2</v>
          </cell>
          <cell r="AD114">
            <v>5.7764848089356113E-2</v>
          </cell>
          <cell r="AE114">
            <v>0.10230710771905749</v>
          </cell>
        </row>
        <row r="115">
          <cell r="D115" t="str">
            <v>EUR</v>
          </cell>
          <cell r="N115" t="str">
            <v/>
          </cell>
          <cell r="O115">
            <v>5.4594323121426314E-4</v>
          </cell>
          <cell r="P115">
            <v>1.3970708096262552E-3</v>
          </cell>
          <cell r="Q115">
            <v>4.8316218745174666E-3</v>
          </cell>
          <cell r="R115">
            <v>9.8205061333527244E-3</v>
          </cell>
          <cell r="S115" t="str">
            <v/>
          </cell>
          <cell r="T115">
            <v>2.5959512728266465E-2</v>
          </cell>
          <cell r="U115">
            <v>4.4800784949898698E-2</v>
          </cell>
          <cell r="V115">
            <v>8.5432329440192856E-2</v>
          </cell>
          <cell r="W115" t="str">
            <v/>
          </cell>
          <cell r="X115">
            <v>6.2922759904748826E-4</v>
          </cell>
          <cell r="Y115">
            <v>1.5634907624471062E-3</v>
          </cell>
          <cell r="Z115">
            <v>5.1632893862315621E-3</v>
          </cell>
          <cell r="AA115">
            <v>1.0315472128474723E-2</v>
          </cell>
          <cell r="AB115" t="str">
            <v/>
          </cell>
          <cell r="AC115">
            <v>2.7231990028239839E-2</v>
          </cell>
          <cell r="AD115">
            <v>4.6988362680224882E-2</v>
          </cell>
          <cell r="AE115">
            <v>8.955760358019671E-2</v>
          </cell>
        </row>
        <row r="116">
          <cell r="D116" t="str">
            <v>EUR</v>
          </cell>
          <cell r="N116" t="str">
            <v/>
          </cell>
          <cell r="O116">
            <v>8.1880333056005838E-4</v>
          </cell>
          <cell r="P116">
            <v>1.7427319313876311E-3</v>
          </cell>
          <cell r="Q116">
            <v>6.207695422293491E-3</v>
          </cell>
          <cell r="R116">
            <v>1.0795753038604028E-2</v>
          </cell>
          <cell r="S116" t="str">
            <v/>
          </cell>
          <cell r="T116">
            <v>2.8467828115225857E-2</v>
          </cell>
          <cell r="U116">
            <v>4.9525752126872713E-2</v>
          </cell>
          <cell r="V116">
            <v>8.9959389463476036E-2</v>
          </cell>
          <cell r="W116" t="str">
            <v/>
          </cell>
          <cell r="X116">
            <v>9.0206496099309863E-4</v>
          </cell>
          <cell r="Y116">
            <v>1.9090942788192455E-3</v>
          </cell>
          <cell r="Z116">
            <v>6.5389043192886076E-3</v>
          </cell>
          <cell r="AA116">
            <v>1.1314948967392824E-2</v>
          </cell>
          <cell r="AB116" t="str">
            <v/>
          </cell>
          <cell r="AC116">
            <v>2.9868767218389713E-2</v>
          </cell>
          <cell r="AD116">
            <v>5.1946430447913694E-2</v>
          </cell>
          <cell r="AE116">
            <v>9.4297801941785053E-2</v>
          </cell>
        </row>
        <row r="117">
          <cell r="D117" t="str">
            <v>EUR</v>
          </cell>
          <cell r="N117" t="str">
            <v/>
          </cell>
          <cell r="O117">
            <v>4.5497334759936336E-4</v>
          </cell>
          <cell r="P117">
            <v>1.22308070448085E-3</v>
          </cell>
          <cell r="Q117">
            <v>4.1419165886716902E-3</v>
          </cell>
          <cell r="R117">
            <v>9.331182816700756E-3</v>
          </cell>
          <cell r="S117" t="str">
            <v/>
          </cell>
          <cell r="T117">
            <v>2.5148525599997584E-2</v>
          </cell>
          <cell r="U117">
            <v>4.2383969088484852E-2</v>
          </cell>
          <cell r="V117">
            <v>8.2177422439858039E-2</v>
          </cell>
          <cell r="W117" t="str">
            <v/>
          </cell>
          <cell r="X117">
            <v>5.3826529594969141E-4</v>
          </cell>
          <cell r="Y117">
            <v>1.3895296532399071E-3</v>
          </cell>
          <cell r="Z117">
            <v>4.4738139638563768E-3</v>
          </cell>
          <cell r="AA117">
            <v>9.8263934123316021E-3</v>
          </cell>
          <cell r="AB117" t="str">
            <v/>
          </cell>
          <cell r="AC117">
            <v>2.6377525112739941E-2</v>
          </cell>
          <cell r="AD117">
            <v>4.4451024007545636E-2</v>
          </cell>
          <cell r="AE117">
            <v>8.6123001423043744E-2</v>
          </cell>
        </row>
        <row r="118">
          <cell r="D118" t="str">
            <v>EUR</v>
          </cell>
          <cell r="N118" t="str">
            <v/>
          </cell>
          <cell r="O118">
            <v>1.820141294202049E-4</v>
          </cell>
          <cell r="P118">
            <v>8.771990960207976E-4</v>
          </cell>
          <cell r="Q118">
            <v>3.4623601708850815E-3</v>
          </cell>
          <cell r="R118">
            <v>7.7901955991001026E-3</v>
          </cell>
          <cell r="S118" t="str">
            <v/>
          </cell>
          <cell r="T118">
            <v>1.9953101357247482E-2</v>
          </cell>
          <cell r="U118">
            <v>3.4009491114034729E-2</v>
          </cell>
          <cell r="V118">
            <v>6.1097318594132255E-2</v>
          </cell>
          <cell r="W118" t="str">
            <v/>
          </cell>
          <cell r="X118">
            <v>2.6532882340812858E-4</v>
          </cell>
          <cell r="Y118">
            <v>1.0437056869131434E-3</v>
          </cell>
          <cell r="Z118">
            <v>3.7944840271290081E-3</v>
          </cell>
          <cell r="AA118">
            <v>8.2861764957382622E-3</v>
          </cell>
          <cell r="AB118" t="str">
            <v/>
          </cell>
          <cell r="AC118">
            <v>2.0919239099150055E-2</v>
          </cell>
          <cell r="AD118">
            <v>3.5662875732787147E-2</v>
          </cell>
          <cell r="AE118">
            <v>6.4046437710694404E-2</v>
          </cell>
        </row>
        <row r="119">
          <cell r="D119" t="str">
            <v>EUR</v>
          </cell>
          <cell r="N119" t="str">
            <v/>
          </cell>
          <cell r="O119">
            <v>5.4594323121426314E-4</v>
          </cell>
          <cell r="P119">
            <v>1.5732511946792149E-3</v>
          </cell>
          <cell r="Q119">
            <v>5.8720409162813514E-3</v>
          </cell>
          <cell r="R119">
            <v>1.2415173920080624E-2</v>
          </cell>
          <cell r="S119" t="str">
            <v/>
          </cell>
          <cell r="T119">
            <v>3.2829344315967068E-2</v>
          </cell>
          <cell r="U119">
            <v>5.9276045111150255E-2</v>
          </cell>
          <cell r="V119">
            <v>0.11061604073705478</v>
          </cell>
          <cell r="W119" t="str">
            <v/>
          </cell>
          <cell r="X119">
            <v>6.2922759904748826E-4</v>
          </cell>
          <cell r="Y119">
            <v>1.7396417865397362E-3</v>
          </cell>
          <cell r="Z119">
            <v>6.2033616794492374E-3</v>
          </cell>
          <cell r="AA119">
            <v>1.3026173444875999E-2</v>
          </cell>
          <cell r="AB119" t="str">
            <v/>
          </cell>
          <cell r="AC119">
            <v>3.4440375902160092E-2</v>
          </cell>
          <cell r="AD119">
            <v>6.2161061272974827E-2</v>
          </cell>
          <cell r="AE119">
            <v>0.11591226237866614</v>
          </cell>
        </row>
        <row r="120">
          <cell r="D120" t="str">
            <v>EUR</v>
          </cell>
          <cell r="N120" t="str">
            <v/>
          </cell>
          <cell r="O120">
            <v>1.0370379099325922E-3</v>
          </cell>
          <cell r="P120">
            <v>2.8642260557074639E-3</v>
          </cell>
          <cell r="Q120">
            <v>8.1131268404998069E-3</v>
          </cell>
          <cell r="R120">
            <v>1.4996555393353428E-2</v>
          </cell>
          <cell r="S120" t="str">
            <v/>
          </cell>
          <cell r="T120">
            <v>3.4220034929788423E-2</v>
          </cell>
          <cell r="U120">
            <v>5.2257166435812907E-2</v>
          </cell>
          <cell r="V120">
            <v>7.8773799474637696E-2</v>
          </cell>
          <cell r="W120" t="str">
            <v/>
          </cell>
          <cell r="X120">
            <v>1.120281354912378E-3</v>
          </cell>
          <cell r="Y120">
            <v>3.0304015030199194E-3</v>
          </cell>
          <cell r="Z120">
            <v>8.503192292706796E-3</v>
          </cell>
          <cell r="AA120">
            <v>1.5740388031233787E-2</v>
          </cell>
          <cell r="AB120" t="str">
            <v/>
          </cell>
          <cell r="AC120">
            <v>3.5902811398058398E-2</v>
          </cell>
          <cell r="AD120">
            <v>5.4806782207309834E-2</v>
          </cell>
          <cell r="AE120">
            <v>8.2558219619120576E-2</v>
          </cell>
        </row>
        <row r="121">
          <cell r="D121" t="str">
            <v>EUR</v>
          </cell>
          <cell r="N121" t="str">
            <v/>
          </cell>
          <cell r="O121">
            <v>1.0461299856532325E-3</v>
          </cell>
          <cell r="P121">
            <v>3.1632134609318463E-3</v>
          </cell>
          <cell r="Q121">
            <v>9.6333708743353563E-3</v>
          </cell>
          <cell r="R121">
            <v>1.7974371832573444E-2</v>
          </cell>
          <cell r="S121" t="str">
            <v/>
          </cell>
          <cell r="T121">
            <v>3.9210781126717165E-2</v>
          </cell>
          <cell r="U121">
            <v>6.1631576143808986E-2</v>
          </cell>
          <cell r="V121">
            <v>9.5374207524688837E-2</v>
          </cell>
          <cell r="W121" t="str">
            <v/>
          </cell>
          <cell r="X121">
            <v>1.1293726729973974E-3</v>
          </cell>
          <cell r="Y121">
            <v>3.3293390811747203E-3</v>
          </cell>
          <cell r="Z121">
            <v>1.0095434144791526E-2</v>
          </cell>
          <cell r="AA121">
            <v>1.8865817303261312E-2</v>
          </cell>
          <cell r="AB121" t="str">
            <v/>
          </cell>
          <cell r="AC121">
            <v>4.1135004707086309E-2</v>
          </cell>
          <cell r="AD121">
            <v>6.462660081609406E-2</v>
          </cell>
          <cell r="AE121">
            <v>9.992030998266932E-2</v>
          </cell>
        </row>
        <row r="122">
          <cell r="D122" t="str">
            <v>EUR</v>
          </cell>
          <cell r="N122" t="str">
            <v/>
          </cell>
          <cell r="O122">
            <v>2.7300879781333443E-4</v>
          </cell>
          <cell r="P122">
            <v>5.2246957288426543E-4</v>
          </cell>
          <cell r="Q122">
            <v>2.423989529563686E-3</v>
          </cell>
          <cell r="R122">
            <v>5.1910229610637737E-3</v>
          </cell>
          <cell r="S122" t="str">
            <v/>
          </cell>
          <cell r="T122">
            <v>1.4822689414550227E-2</v>
          </cell>
          <cell r="U122">
            <v>2.6973440267887172E-2</v>
          </cell>
          <cell r="V122">
            <v>4.9389084116352122E-2</v>
          </cell>
          <cell r="W122" t="str">
            <v/>
          </cell>
          <cell r="X122">
            <v>3.5631590924090073E-4</v>
          </cell>
          <cell r="Y122">
            <v>6.8903528042396633E-4</v>
          </cell>
          <cell r="Z122">
            <v>2.7564594516580332E-3</v>
          </cell>
          <cell r="AA122">
            <v>5.6883031192032085E-3</v>
          </cell>
          <cell r="AB122" t="str">
            <v/>
          </cell>
          <cell r="AC122">
            <v>1.5643328526233402E-2</v>
          </cell>
          <cell r="AD122">
            <v>2.8260501801887772E-2</v>
          </cell>
          <cell r="AE122">
            <v>5.1758745622153768E-2</v>
          </cell>
        </row>
        <row r="123">
          <cell r="D123" t="str">
            <v>EUR</v>
          </cell>
          <cell r="N123" t="str">
            <v/>
          </cell>
          <cell r="O123">
            <v>6.3690485549472431E-4</v>
          </cell>
          <cell r="P123">
            <v>2.0994602738400037E-3</v>
          </cell>
          <cell r="Q123">
            <v>6.5484368162540552E-3</v>
          </cell>
          <cell r="R123">
            <v>1.3419558551839073E-2</v>
          </cell>
          <cell r="S123" t="str">
            <v/>
          </cell>
          <cell r="T123">
            <v>3.2692197762761888E-2</v>
          </cell>
          <cell r="U123">
            <v>5.5273520852263336E-2</v>
          </cell>
          <cell r="V123">
            <v>9.4049443523542609E-2</v>
          </cell>
          <cell r="W123" t="str">
            <v/>
          </cell>
          <cell r="X123">
            <v>7.2018164349907376E-4</v>
          </cell>
          <cell r="Y123">
            <v>2.2657631715060633E-3</v>
          </cell>
          <cell r="Z123">
            <v>6.8795321517071129E-3</v>
          </cell>
          <cell r="AA123">
            <v>1.4082864005925289E-2</v>
          </cell>
          <cell r="AB123" t="str">
            <v/>
          </cell>
          <cell r="AC123">
            <v>3.4298827509011476E-2</v>
          </cell>
          <cell r="AD123">
            <v>5.7968034510056721E-2</v>
          </cell>
          <cell r="AE123">
            <v>9.8545194686271098E-2</v>
          </cell>
        </row>
        <row r="124">
          <cell r="D124" t="str">
            <v>EUR</v>
          </cell>
          <cell r="N124" t="str">
            <v/>
          </cell>
          <cell r="O124">
            <v>5.4594323121426314E-4</v>
          </cell>
          <cell r="P124">
            <v>1.3970708096262552E-3</v>
          </cell>
          <cell r="Q124">
            <v>4.8316218745174666E-3</v>
          </cell>
          <cell r="R124">
            <v>1.035088639451387E-2</v>
          </cell>
          <cell r="S124" t="str">
            <v/>
          </cell>
          <cell r="T124">
            <v>2.6812391090289545E-2</v>
          </cell>
          <cell r="U124">
            <v>4.7257143490811226E-2</v>
          </cell>
          <cell r="V124">
            <v>8.1132308738468328E-2</v>
          </cell>
          <cell r="W124" t="str">
            <v/>
          </cell>
          <cell r="X124">
            <v>6.2922759904748826E-4</v>
          </cell>
          <cell r="Y124">
            <v>1.5634907624471062E-3</v>
          </cell>
          <cell r="Z124">
            <v>5.1632893862315621E-3</v>
          </cell>
          <cell r="AA124">
            <v>1.0845587265799872E-2</v>
          </cell>
          <cell r="AB124" t="str">
            <v/>
          </cell>
          <cell r="AC124">
            <v>2.8128493389712017E-2</v>
          </cell>
          <cell r="AD124">
            <v>4.9565084696422068E-2</v>
          </cell>
          <cell r="AE124">
            <v>8.5032817118908199E-2</v>
          </cell>
        </row>
        <row r="125">
          <cell r="D125" t="str">
            <v>EUR</v>
          </cell>
          <cell r="N125" t="str">
            <v/>
          </cell>
          <cell r="O125">
            <v>1.9095009945562236E-3</v>
          </cell>
          <cell r="P125">
            <v>3.6515597423353308E-3</v>
          </cell>
          <cell r="Q125">
            <v>1.3066876626733004E-2</v>
          </cell>
          <cell r="R125">
            <v>3.6683331101901251E-2</v>
          </cell>
          <cell r="S125" t="str">
            <v/>
          </cell>
          <cell r="T125">
            <v>8.1100304588341832E-2</v>
          </cell>
          <cell r="U125">
            <v>0.13378669175409796</v>
          </cell>
          <cell r="V125">
            <v>0.21277453829098236</v>
          </cell>
          <cell r="W125" t="str">
            <v/>
          </cell>
          <cell r="X125">
            <v>1.9968300925197191E-3</v>
          </cell>
          <cell r="Y125">
            <v>3.8259054636848866E-3</v>
          </cell>
          <cell r="Z125">
            <v>1.37169244105253E-2</v>
          </cell>
          <cell r="AA125">
            <v>3.8493322360746651E-2</v>
          </cell>
          <cell r="AB125" t="str">
            <v/>
          </cell>
          <cell r="AC125">
            <v>8.5027733719889698E-2</v>
          </cell>
          <cell r="AD125">
            <v>0.14011136690166492</v>
          </cell>
          <cell r="AE125">
            <v>0.22242282650306966</v>
          </cell>
        </row>
        <row r="126">
          <cell r="D126" t="str">
            <v>EUR</v>
          </cell>
          <cell r="N126" t="str">
            <v/>
          </cell>
          <cell r="O126">
            <v>1.2734050585156975E-3</v>
          </cell>
          <cell r="P126">
            <v>2.963901207762798E-3</v>
          </cell>
          <cell r="Q126">
            <v>1.1025630665352559E-2</v>
          </cell>
          <cell r="R126">
            <v>2.2652312260101226E-2</v>
          </cell>
          <cell r="S126" t="str">
            <v/>
          </cell>
          <cell r="T126">
            <v>5.4622290529526163E-2</v>
          </cell>
          <cell r="U126">
            <v>9.4981299794288154E-2</v>
          </cell>
          <cell r="V126">
            <v>0.15464328644700531</v>
          </cell>
          <cell r="W126" t="str">
            <v/>
          </cell>
          <cell r="X126">
            <v>1.3566288070471222E-3</v>
          </cell>
          <cell r="Y126">
            <v>3.1300600439404525E-3</v>
          </cell>
          <cell r="Z126">
            <v>1.1573056601427933E-2</v>
          </cell>
          <cell r="AA126">
            <v>2.3773292678996305E-2</v>
          </cell>
          <cell r="AB126" t="str">
            <v/>
          </cell>
          <cell r="AC126">
            <v>5.7284441189375035E-2</v>
          </cell>
          <cell r="AD126">
            <v>9.9536115189613694E-2</v>
          </cell>
          <cell r="AE126">
            <v>0.16187585405353566</v>
          </cell>
        </row>
        <row r="127">
          <cell r="D127" t="str">
            <v>EUR</v>
          </cell>
          <cell r="N127" t="str">
            <v/>
          </cell>
          <cell r="O127">
            <v>2.7300879781333443E-4</v>
          </cell>
          <cell r="P127">
            <v>1.0512575945389457E-3</v>
          </cell>
          <cell r="Q127">
            <v>3.8033174080542853E-3</v>
          </cell>
          <cell r="R127">
            <v>7.2345642601338023E-3</v>
          </cell>
          <cell r="S127" t="str">
            <v/>
          </cell>
          <cell r="T127">
            <v>1.9070850575711562E-2</v>
          </cell>
          <cell r="U127">
            <v>3.1507614881115198E-2</v>
          </cell>
          <cell r="V127">
            <v>5.3818447107337297E-2</v>
          </cell>
          <cell r="W127" t="str">
            <v/>
          </cell>
          <cell r="X127">
            <v>3.5631590924090073E-4</v>
          </cell>
          <cell r="Y127">
            <v>1.2177351780808809E-3</v>
          </cell>
          <cell r="Z127">
            <v>4.1353276307973807E-3</v>
          </cell>
          <cell r="AA127">
            <v>7.7308229030035314E-3</v>
          </cell>
          <cell r="AB127" t="str">
            <v/>
          </cell>
          <cell r="AC127">
            <v>1.9992903153255082E-2</v>
          </cell>
          <cell r="AD127">
            <v>3.3038419490919235E-2</v>
          </cell>
          <cell r="AE127">
            <v>5.6420325495721846E-2</v>
          </cell>
        </row>
        <row r="128">
          <cell r="D128" t="str">
            <v>EUR</v>
          </cell>
          <cell r="N128" t="str">
            <v/>
          </cell>
          <cell r="O128">
            <v>4.5497334759936336E-4</v>
          </cell>
          <cell r="P128">
            <v>1.9278047053625791E-3</v>
          </cell>
          <cell r="Q128">
            <v>6.5592652631388804E-3</v>
          </cell>
          <cell r="R128">
            <v>1.2901106729871992E-2</v>
          </cell>
          <cell r="S128" t="str">
            <v/>
          </cell>
          <cell r="T128">
            <v>3.274379074852074E-2</v>
          </cell>
          <cell r="U128">
            <v>5.5325578898474004E-2</v>
          </cell>
          <cell r="V128">
            <v>9.5973809331030613E-2</v>
          </cell>
          <cell r="W128" t="str">
            <v/>
          </cell>
          <cell r="X128">
            <v>5.3826529594969141E-4</v>
          </cell>
          <cell r="Y128">
            <v>2.094136209900177E-3</v>
          </cell>
          <cell r="Z128">
            <v>6.8903569897027506E-3</v>
          </cell>
          <cell r="AA128">
            <v>1.3538221601976597E-2</v>
          </cell>
          <cell r="AB128" t="str">
            <v/>
          </cell>
          <cell r="AC128">
            <v>3.4352529236707952E-2</v>
          </cell>
          <cell r="AD128">
            <v>5.8022461432181482E-2</v>
          </cell>
          <cell r="AE128">
            <v>0.1005842496976368</v>
          </cell>
        </row>
        <row r="129">
          <cell r="D129" t="str">
            <v>EUR</v>
          </cell>
          <cell r="N129" t="str">
            <v/>
          </cell>
          <cell r="O129">
            <v>9.0974018358735975E-4</v>
          </cell>
          <cell r="P129">
            <v>2.7970014672076271E-3</v>
          </cell>
          <cell r="Q129">
            <v>8.2581943532946678E-3</v>
          </cell>
          <cell r="R129">
            <v>1.5947238663102103E-2</v>
          </cell>
          <cell r="S129" t="str">
            <v/>
          </cell>
          <cell r="T129">
            <v>4.477092933673843E-2</v>
          </cell>
          <cell r="U129">
            <v>7.5360539986676689E-2</v>
          </cell>
          <cell r="V129">
            <v>0.12109344447539128</v>
          </cell>
          <cell r="W129" t="str">
            <v/>
          </cell>
          <cell r="X129">
            <v>9.9299423627774441E-4</v>
          </cell>
          <cell r="Y129">
            <v>2.9631881176895858E-3</v>
          </cell>
          <cell r="Z129">
            <v>8.6548117467698527E-3</v>
          </cell>
          <cell r="AA129">
            <v>1.6737839472473315E-2</v>
          </cell>
          <cell r="AB129" t="str">
            <v/>
          </cell>
          <cell r="AC129">
            <v>4.6963705460402405E-2</v>
          </cell>
          <cell r="AD129">
            <v>7.9007991125429111E-2</v>
          </cell>
          <cell r="AE129">
            <v>0.12684009781984307</v>
          </cell>
        </row>
        <row r="130">
          <cell r="D130" t="str">
            <v>EUR</v>
          </cell>
          <cell r="N130" t="str">
            <v/>
          </cell>
          <cell r="O130">
            <v>6.3690485549472431E-4</v>
          </cell>
          <cell r="P130">
            <v>1.7471884482904709E-3</v>
          </cell>
          <cell r="Q130">
            <v>5.8635650664877748E-3</v>
          </cell>
          <cell r="R130">
            <v>1.240652024510347E-2</v>
          </cell>
          <cell r="S130" t="str">
            <v/>
          </cell>
          <cell r="T130">
            <v>3.2820358938562832E-2</v>
          </cell>
          <cell r="U130">
            <v>5.7979315402498011E-2</v>
          </cell>
          <cell r="V130">
            <v>0.10324679274699833</v>
          </cell>
          <cell r="W130" t="str">
            <v/>
          </cell>
          <cell r="X130">
            <v>7.2018164349907376E-4</v>
          </cell>
          <cell r="Y130">
            <v>1.9135500530244043E-3</v>
          </cell>
          <cell r="Z130">
            <v>6.1948886544578308E-3</v>
          </cell>
          <cell r="AA130">
            <v>1.3017485727207068E-2</v>
          </cell>
          <cell r="AB130" t="str">
            <v/>
          </cell>
          <cell r="AC130">
            <v>3.4431340851010073E-2</v>
          </cell>
          <cell r="AD130">
            <v>6.0802503707572231E-2</v>
          </cell>
          <cell r="AE130">
            <v>0.10819720290985746</v>
          </cell>
        </row>
        <row r="131">
          <cell r="D131" t="str">
            <v>EUR</v>
          </cell>
          <cell r="N131" t="str">
            <v/>
          </cell>
          <cell r="O131">
            <v>1.0006687817649684E-3</v>
          </cell>
          <cell r="P131">
            <v>2.6186876321401265E-3</v>
          </cell>
          <cell r="Q131">
            <v>6.5205503597596248E-3</v>
          </cell>
          <cell r="R131">
            <v>1.33911010642499E-2</v>
          </cell>
          <cell r="S131" t="str">
            <v/>
          </cell>
          <cell r="T131">
            <v>3.2662866552734204E-2</v>
          </cell>
          <cell r="U131">
            <v>5.6531715302251651E-2</v>
          </cell>
          <cell r="V131">
            <v>9.7599269559602964E-2</v>
          </cell>
          <cell r="W131" t="str">
            <v/>
          </cell>
          <cell r="X131">
            <v>1.0839152573786093E-3</v>
          </cell>
          <cell r="Y131">
            <v>2.78490399911413E-3</v>
          </cell>
          <cell r="Z131">
            <v>6.8516549891473044E-3</v>
          </cell>
          <cell r="AA131">
            <v>1.4054285805512934E-2</v>
          </cell>
          <cell r="AB131" t="str">
            <v/>
          </cell>
          <cell r="AC131">
            <v>3.4269334910502325E-2</v>
          </cell>
          <cell r="AD131">
            <v>5.9287947336480351E-2</v>
          </cell>
          <cell r="AE131">
            <v>0.10228649222826824</v>
          </cell>
        </row>
        <row r="132">
          <cell r="D132" t="str">
            <v>EUR</v>
          </cell>
          <cell r="N132" t="str">
            <v/>
          </cell>
          <cell r="O132">
            <v>7.2785822158416558E-4</v>
          </cell>
          <cell r="P132">
            <v>1.744960105844795E-3</v>
          </cell>
          <cell r="Q132">
            <v>6.5586206526362378E-3</v>
          </cell>
          <cell r="R132">
            <v>1.2370859980084248E-2</v>
          </cell>
          <cell r="S132" t="str">
            <v/>
          </cell>
          <cell r="T132">
            <v>3.2783329141084838E-2</v>
          </cell>
          <cell r="U132">
            <v>5.4076735890140726E-2</v>
          </cell>
          <cell r="V132">
            <v>9.2429670483917259E-2</v>
          </cell>
          <cell r="W132" t="str">
            <v/>
          </cell>
          <cell r="X132">
            <v>8.1112743046984903E-4</v>
          </cell>
          <cell r="Y132">
            <v>1.9113220819424459E-3</v>
          </cell>
          <cell r="Z132">
            <v>6.8897125940247106E-3</v>
          </cell>
          <cell r="AA132">
            <v>1.2963259726413878E-2</v>
          </cell>
          <cell r="AB132" t="str">
            <v/>
          </cell>
          <cell r="AC132">
            <v>3.4395508550795983E-2</v>
          </cell>
          <cell r="AD132">
            <v>5.6715328089780859E-2</v>
          </cell>
          <cell r="AE132">
            <v>9.6852402932293691E-2</v>
          </cell>
        </row>
        <row r="133">
          <cell r="D133" t="str">
            <v>EUR</v>
          </cell>
          <cell r="N133" t="str">
            <v/>
          </cell>
          <cell r="O133">
            <v>6.3690485549472431E-4</v>
          </cell>
          <cell r="P133">
            <v>1.3948581478229194E-3</v>
          </cell>
          <cell r="Q133">
            <v>4.4803848348143882E-3</v>
          </cell>
          <cell r="R133">
            <v>8.7734748813398378E-3</v>
          </cell>
          <cell r="S133" t="str">
            <v/>
          </cell>
          <cell r="T133">
            <v>2.3373124735235562E-2</v>
          </cell>
          <cell r="U133">
            <v>3.7387212017802818E-2</v>
          </cell>
          <cell r="V133">
            <v>6.7745367232942111E-2</v>
          </cell>
          <cell r="W133" t="str">
            <v/>
          </cell>
          <cell r="X133">
            <v>7.2018164349907376E-4</v>
          </cell>
          <cell r="Y133">
            <v>1.5612784693798121E-3</v>
          </cell>
          <cell r="Z133">
            <v>4.812169406048783E-3</v>
          </cell>
          <cell r="AA133">
            <v>9.2689642612319156E-3</v>
          </cell>
          <cell r="AB133" t="str">
            <v/>
          </cell>
          <cell r="AC133">
            <v>2.4514499352385921E-2</v>
          </cell>
          <cell r="AD133">
            <v>3.9211367521341356E-2</v>
          </cell>
          <cell r="AE133">
            <v>7.1013938880104877E-2</v>
          </cell>
        </row>
        <row r="134">
          <cell r="D134" t="str">
            <v>EUR</v>
          </cell>
          <cell r="N134" t="str">
            <v/>
          </cell>
          <cell r="O134">
            <v>2.7300879781333443E-4</v>
          </cell>
          <cell r="P134">
            <v>1.0512575945389457E-3</v>
          </cell>
          <cell r="Q134">
            <v>4.5016027887184729E-3</v>
          </cell>
          <cell r="R134">
            <v>9.3256218506686528E-3</v>
          </cell>
          <cell r="S134" t="str">
            <v/>
          </cell>
          <cell r="T134">
            <v>2.5142785420706582E-2</v>
          </cell>
          <cell r="U134">
            <v>4.2378159904398416E-2</v>
          </cell>
          <cell r="V134">
            <v>7.8340968265681155E-2</v>
          </cell>
          <cell r="W134" t="str">
            <v/>
          </cell>
          <cell r="X134">
            <v>3.5631590924090073E-4</v>
          </cell>
          <cell r="Y134">
            <v>1.2177351780808809E-3</v>
          </cell>
          <cell r="Z134">
            <v>4.8333802884625854E-3</v>
          </cell>
          <cell r="AA134">
            <v>9.8208352260754639E-3</v>
          </cell>
          <cell r="AB134" t="str">
            <v/>
          </cell>
          <cell r="AC134">
            <v>2.6371759508249437E-2</v>
          </cell>
          <cell r="AD134">
            <v>4.4445186482142129E-2</v>
          </cell>
          <cell r="AE134">
            <v>8.2107499795573746E-2</v>
          </cell>
        </row>
        <row r="135">
          <cell r="D135" t="str">
            <v>EUR</v>
          </cell>
          <cell r="N135" t="str">
            <v/>
          </cell>
          <cell r="O135">
            <v>5.4594323121426314E-4</v>
          </cell>
          <cell r="P135">
            <v>1.5732511946792149E-3</v>
          </cell>
          <cell r="Q135">
            <v>6.2207748185563183E-3</v>
          </cell>
          <cell r="R135">
            <v>1.292818812011276E-2</v>
          </cell>
          <cell r="S135" t="str">
            <v/>
          </cell>
          <cell r="T135">
            <v>3.366067248634852E-2</v>
          </cell>
          <cell r="U135">
            <v>5.7833393624994844E-2</v>
          </cell>
          <cell r="V135">
            <v>0.10876125295028838</v>
          </cell>
          <cell r="W135" t="str">
            <v/>
          </cell>
          <cell r="X135">
            <v>6.2922759904748826E-4</v>
          </cell>
          <cell r="Y135">
            <v>1.7396417865397362E-3</v>
          </cell>
          <cell r="Z135">
            <v>6.5519793564798867E-3</v>
          </cell>
          <cell r="AA135">
            <v>1.3565393683712124E-2</v>
          </cell>
          <cell r="AB135" t="str">
            <v/>
          </cell>
          <cell r="AC135">
            <v>3.5312811369475616E-2</v>
          </cell>
          <cell r="AD135">
            <v>6.0649230090923711E-2</v>
          </cell>
          <cell r="AE135">
            <v>0.11397102457958364</v>
          </cell>
        </row>
        <row r="136">
          <cell r="D136" t="str">
            <v>EUR</v>
          </cell>
          <cell r="N136" t="str">
            <v/>
          </cell>
          <cell r="O136">
            <v>1.0734057175864065E-3</v>
          </cell>
          <cell r="P136">
            <v>2.6696849839024095E-3</v>
          </cell>
          <cell r="Q136">
            <v>7.1091502464659673E-3</v>
          </cell>
          <cell r="R136">
            <v>1.2776624107392442E-2</v>
          </cell>
          <cell r="S136" t="str">
            <v/>
          </cell>
          <cell r="T136">
            <v>2.733637709428427E-2</v>
          </cell>
          <cell r="U136">
            <v>4.3169579725446328E-2</v>
          </cell>
          <cell r="V136">
            <v>6.7773629557425163E-2</v>
          </cell>
          <cell r="W136" t="str">
            <v/>
          </cell>
          <cell r="X136">
            <v>1.1566461320424715E-3</v>
          </cell>
          <cell r="Y136">
            <v>2.8358928520327842E-3</v>
          </cell>
          <cell r="Z136">
            <v>7.4516385070125812E-3</v>
          </cell>
          <cell r="AA136">
            <v>1.3410297648045466E-2</v>
          </cell>
          <cell r="AB136" t="str">
            <v/>
          </cell>
          <cell r="AC136">
            <v>2.8683991104670459E-2</v>
          </cell>
          <cell r="AD136">
            <v>4.5284087662056716E-2</v>
          </cell>
          <cell r="AE136">
            <v>7.1049737625763609E-2</v>
          </cell>
        </row>
        <row r="137">
          <cell r="D137" t="str">
            <v>USD</v>
          </cell>
          <cell r="N137" t="str">
            <v/>
          </cell>
          <cell r="O137" t="str">
            <v/>
          </cell>
          <cell r="P137">
            <v>1.2447929071296437E-3</v>
          </cell>
          <cell r="Q137" t="str">
            <v/>
          </cell>
          <cell r="R137">
            <v>9.3506776630444266E-3</v>
          </cell>
          <cell r="S137" t="str">
            <v/>
          </cell>
          <cell r="T137">
            <v>2.3776874189456287E-2</v>
          </cell>
          <cell r="U137">
            <v>3.7089339485033457E-2</v>
          </cell>
          <cell r="V137">
            <v>6.2782934730373774E-2</v>
          </cell>
          <cell r="W137" t="str">
            <v/>
          </cell>
          <cell r="X137" t="str">
            <v/>
          </cell>
          <cell r="Y137">
            <v>1.4112382374846799E-3</v>
          </cell>
          <cell r="Z137" t="str">
            <v/>
          </cell>
          <cell r="AA137">
            <v>9.8458785137166549E-3</v>
          </cell>
          <cell r="AB137" t="str">
            <v/>
          </cell>
          <cell r="AC137">
            <v>2.4941003117541216E-2</v>
          </cell>
          <cell r="AD137">
            <v>3.8901707481254433E-2</v>
          </cell>
          <cell r="AE137">
            <v>6.5818079061830015E-2</v>
          </cell>
        </row>
        <row r="138">
          <cell r="D138" t="str">
            <v>USD</v>
          </cell>
          <cell r="N138" t="str">
            <v/>
          </cell>
          <cell r="O138" t="str">
            <v/>
          </cell>
          <cell r="P138">
            <v>2.4741458840724651E-3</v>
          </cell>
          <cell r="Q138" t="str">
            <v/>
          </cell>
          <cell r="R138">
            <v>1.3533589798424672E-2</v>
          </cell>
          <cell r="S138" t="str">
            <v/>
          </cell>
          <cell r="T138">
            <v>3.3147968117997584E-2</v>
          </cell>
          <cell r="U138">
            <v>5.7528142573739505E-2</v>
          </cell>
          <cell r="V138">
            <v>9.766831710565016E-2</v>
          </cell>
          <cell r="W138" t="str">
            <v/>
          </cell>
          <cell r="X138" t="str">
            <v/>
          </cell>
          <cell r="Y138">
            <v>2.6403863393338334E-3</v>
          </cell>
          <cell r="Z138" t="str">
            <v/>
          </cell>
          <cell r="AA138">
            <v>1.4184689277878526E-2</v>
          </cell>
          <cell r="AB138" t="str">
            <v/>
          </cell>
          <cell r="AC138">
            <v>3.4778403845987405E-2</v>
          </cell>
          <cell r="AD138">
            <v>6.0332051277701804E-2</v>
          </cell>
          <cell r="AE138">
            <v>0.10235837996539221</v>
          </cell>
        </row>
        <row r="139">
          <cell r="D139" t="str">
            <v>USD</v>
          </cell>
          <cell r="N139" t="str">
            <v/>
          </cell>
          <cell r="O139">
            <v>1.2188824510293017E-3</v>
          </cell>
          <cell r="P139">
            <v>3.6339720499689587E-3</v>
          </cell>
          <cell r="Q139">
            <v>1.0480688632767188E-2</v>
          </cell>
          <cell r="R139">
            <v>1.8119827201183436E-2</v>
          </cell>
          <cell r="S139" t="str">
            <v/>
          </cell>
          <cell r="T139">
            <v>3.6229829252400036E-2</v>
          </cell>
          <cell r="U139">
            <v>5.4758275426606828E-2</v>
          </cell>
          <cell r="V139">
            <v>8.3804781795728478E-2</v>
          </cell>
          <cell r="W139" t="str">
            <v/>
          </cell>
          <cell r="X139">
            <v>1.3021107429398437E-3</v>
          </cell>
          <cell r="Y139">
            <v>3.8066605280486776E-3</v>
          </cell>
          <cell r="Z139">
            <v>1.1001933432927768E-2</v>
          </cell>
          <cell r="AA139">
            <v>1.9018143846343816E-2</v>
          </cell>
          <cell r="AB139" t="str">
            <v/>
          </cell>
          <cell r="AC139">
            <v>3.8008774060655282E-2</v>
          </cell>
          <cell r="AD139">
            <v>5.7424367103765528E-2</v>
          </cell>
          <cell r="AE139">
            <v>8.7817439179784018E-2</v>
          </cell>
        </row>
        <row r="140">
          <cell r="D140" t="str">
            <v>USD</v>
          </cell>
          <cell r="N140" t="str">
            <v/>
          </cell>
          <cell r="O140" t="str">
            <v/>
          </cell>
          <cell r="P140">
            <v>1.3526604913148832E-3</v>
          </cell>
          <cell r="Q140" t="str">
            <v/>
          </cell>
          <cell r="R140">
            <v>7.6883722233259677E-3</v>
          </cell>
          <cell r="S140" t="str">
            <v/>
          </cell>
          <cell r="T140">
            <v>1.8742656356136145E-2</v>
          </cell>
          <cell r="U140">
            <v>3.0332840046010778E-2</v>
          </cell>
          <cell r="V140">
            <v>6.1658555512821511E-2</v>
          </cell>
          <cell r="W140" t="str">
            <v/>
          </cell>
          <cell r="X140" t="str">
            <v/>
          </cell>
          <cell r="Y140">
            <v>1.5190878452285839E-3</v>
          </cell>
          <cell r="Z140" t="str">
            <v/>
          </cell>
          <cell r="AA140">
            <v>8.184404018919178E-3</v>
          </cell>
          <cell r="AB140" t="str">
            <v/>
          </cell>
          <cell r="AC140">
            <v>1.9651585456804788E-2</v>
          </cell>
          <cell r="AD140">
            <v>3.1809161577680101E-2</v>
          </cell>
          <cell r="AE140">
            <v>6.4635852496682467E-2</v>
          </cell>
        </row>
        <row r="141">
          <cell r="D141" t="str">
            <v>USD</v>
          </cell>
          <cell r="N141" t="str">
            <v/>
          </cell>
          <cell r="O141" t="str">
            <v/>
          </cell>
          <cell r="P141">
            <v>1.6414103355083531E-3</v>
          </cell>
          <cell r="Q141" t="str">
            <v/>
          </cell>
          <cell r="R141">
            <v>1.3911817055039299E-2</v>
          </cell>
          <cell r="S141" t="str">
            <v/>
          </cell>
          <cell r="T141">
            <v>3.3605935397596154E-2</v>
          </cell>
          <cell r="U141">
            <v>5.565254927765062E-2</v>
          </cell>
          <cell r="V141">
            <v>9.8065167450972046E-2</v>
          </cell>
          <cell r="W141" t="str">
            <v/>
          </cell>
          <cell r="X141" t="str">
            <v/>
          </cell>
          <cell r="Y141">
            <v>1.8077895684687206E-3</v>
          </cell>
          <cell r="Z141" t="str">
            <v/>
          </cell>
          <cell r="AA141">
            <v>1.4577694697156862E-2</v>
          </cell>
          <cell r="AB141" t="str">
            <v/>
          </cell>
          <cell r="AC141">
            <v>3.5255842473326582E-2</v>
          </cell>
          <cell r="AD141">
            <v>5.8363400513410268E-2</v>
          </cell>
          <cell r="AE141">
            <v>0.1027729201567823</v>
          </cell>
        </row>
        <row r="142">
          <cell r="D142" t="str">
            <v>USD</v>
          </cell>
          <cell r="N142" t="str">
            <v/>
          </cell>
          <cell r="O142" t="str">
            <v/>
          </cell>
          <cell r="P142">
            <v>2.0987179082332386E-3</v>
          </cell>
          <cell r="Q142" t="str">
            <v/>
          </cell>
          <cell r="R142">
            <v>9.8266486249940499E-3</v>
          </cell>
          <cell r="S142" t="str">
            <v/>
          </cell>
          <cell r="T142">
            <v>2.0629239047427528E-2</v>
          </cell>
          <cell r="U142">
            <v>3.2062430848398549E-2</v>
          </cell>
          <cell r="V142">
            <v>5.5673638349171495E-2</v>
          </cell>
          <cell r="W142" t="str">
            <v/>
          </cell>
          <cell r="X142" t="str">
            <v/>
          </cell>
          <cell r="Y142">
            <v>2.2650209296275481E-3</v>
          </cell>
          <cell r="Z142" t="str">
            <v/>
          </cell>
          <cell r="AA142">
            <v>1.0321611549645726E-2</v>
          </cell>
          <cell r="AB142" t="str">
            <v/>
          </cell>
          <cell r="AC142">
            <v>2.1644627893846136E-2</v>
          </cell>
          <cell r="AD142">
            <v>3.3635921197798568E-2</v>
          </cell>
          <cell r="AE142">
            <v>5.8378014126842959E-2</v>
          </cell>
        </row>
        <row r="143">
          <cell r="D143" t="str">
            <v>USD</v>
          </cell>
          <cell r="N143" t="str">
            <v/>
          </cell>
          <cell r="O143" t="str">
            <v/>
          </cell>
          <cell r="P143">
            <v>2.0500410574152417E-3</v>
          </cell>
          <cell r="Q143" t="str">
            <v/>
          </cell>
          <cell r="R143">
            <v>1.1807707588654348E-2</v>
          </cell>
          <cell r="S143" t="str">
            <v/>
          </cell>
          <cell r="T143">
            <v>2.9068610910760073E-2</v>
          </cell>
          <cell r="U143">
            <v>5.2826377542974479E-2</v>
          </cell>
          <cell r="V143">
            <v>9.2468493835141885E-2</v>
          </cell>
          <cell r="W143" t="str">
            <v/>
          </cell>
          <cell r="X143" t="str">
            <v/>
          </cell>
          <cell r="Y143">
            <v>2.2163521909092099E-3</v>
          </cell>
          <cell r="Z143" t="str">
            <v/>
          </cell>
          <cell r="AA143">
            <v>1.2376001733589326E-2</v>
          </cell>
          <cell r="AB143" t="str">
            <v/>
          </cell>
          <cell r="AC143">
            <v>3.0499084201434545E-2</v>
          </cell>
          <cell r="AD143">
            <v>5.5405444743345633E-2</v>
          </cell>
          <cell r="AE143">
            <v>9.6922423949325154E-2</v>
          </cell>
        </row>
        <row r="144">
          <cell r="D144" t="str">
            <v>USD</v>
          </cell>
          <cell r="N144" t="str">
            <v/>
          </cell>
          <cell r="O144" t="str">
            <v/>
          </cell>
          <cell r="P144">
            <v>2.0709028533263396E-3</v>
          </cell>
          <cell r="Q144" t="str">
            <v/>
          </cell>
          <cell r="R144">
            <v>1.2457848377123382E-2</v>
          </cell>
          <cell r="S144" t="str">
            <v/>
          </cell>
          <cell r="T144">
            <v>3.0282901097456905E-2</v>
          </cell>
          <cell r="U144">
            <v>4.3547145282777699E-2</v>
          </cell>
          <cell r="V144">
            <v>6.4785350561814892E-2</v>
          </cell>
          <cell r="W144" t="str">
            <v/>
          </cell>
          <cell r="X144" t="str">
            <v/>
          </cell>
          <cell r="Y144">
            <v>2.2372105101641226E-3</v>
          </cell>
          <cell r="Z144" t="str">
            <v/>
          </cell>
          <cell r="AA144">
            <v>1.3056857834771729E-2</v>
          </cell>
          <cell r="AB144" t="str">
            <v/>
          </cell>
          <cell r="AC144">
            <v>3.1772620868964818E-2</v>
          </cell>
          <cell r="AD144">
            <v>4.5677471832602068E-2</v>
          </cell>
          <cell r="AE144">
            <v>6.7915806116818911E-2</v>
          </cell>
        </row>
        <row r="145">
          <cell r="D145" t="str">
            <v>USD</v>
          </cell>
          <cell r="N145" t="str">
            <v/>
          </cell>
          <cell r="O145" t="str">
            <v/>
          </cell>
          <cell r="P145">
            <v>1.9196450297898071E-3</v>
          </cell>
          <cell r="Q145" t="str">
            <v/>
          </cell>
          <cell r="R145">
            <v>9.2492150627133674E-3</v>
          </cell>
          <cell r="S145" t="str">
            <v/>
          </cell>
          <cell r="T145">
            <v>2.1999104366447364E-2</v>
          </cell>
          <cell r="U145">
            <v>4.2250656324916536E-2</v>
          </cell>
          <cell r="V145">
            <v>7.4592546792852432E-2</v>
          </cell>
          <cell r="W145" t="str">
            <v/>
          </cell>
          <cell r="X145" t="str">
            <v/>
          </cell>
          <cell r="Y145">
            <v>2.0859778941660911E-3</v>
          </cell>
          <cell r="Z145" t="str">
            <v/>
          </cell>
          <cell r="AA145">
            <v>9.744466631994908E-3</v>
          </cell>
          <cell r="AB145" t="str">
            <v/>
          </cell>
          <cell r="AC145">
            <v>2.307809524192872E-2</v>
          </cell>
          <cell r="AD145">
            <v>4.4316175987050954E-2</v>
          </cell>
          <cell r="AE145">
            <v>7.8188704649759133E-2</v>
          </cell>
        </row>
        <row r="146">
          <cell r="D146" t="str">
            <v>USD</v>
          </cell>
          <cell r="N146" t="str">
            <v/>
          </cell>
          <cell r="O146" t="str">
            <v/>
          </cell>
          <cell r="P146">
            <v>2.0396099972084247E-3</v>
          </cell>
          <cell r="Q146" t="str">
            <v/>
          </cell>
          <cell r="R146">
            <v>1.5926265603397161E-2</v>
          </cell>
          <cell r="S146" t="str">
            <v/>
          </cell>
          <cell r="T146">
            <v>3.334595367808213E-2</v>
          </cell>
          <cell r="U146">
            <v>5.7764442095641355E-2</v>
          </cell>
          <cell r="V146">
            <v>0.10618854650438403</v>
          </cell>
          <cell r="W146" t="str">
            <v/>
          </cell>
          <cell r="X146" t="str">
            <v/>
          </cell>
          <cell r="Y146">
            <v>2.2059228690995969E-3</v>
          </cell>
          <cell r="Z146" t="str">
            <v/>
          </cell>
          <cell r="AA146">
            <v>1.6710750062367108E-2</v>
          </cell>
          <cell r="AB146" t="str">
            <v/>
          </cell>
          <cell r="AC146">
            <v>3.4981858095125995E-2</v>
          </cell>
          <cell r="AD146">
            <v>6.0573955521038503E-2</v>
          </cell>
          <cell r="AE146">
            <v>0.11127455793747931</v>
          </cell>
        </row>
        <row r="147">
          <cell r="D147" t="str">
            <v>USD</v>
          </cell>
          <cell r="N147" t="str">
            <v/>
          </cell>
          <cell r="O147" t="str">
            <v/>
          </cell>
          <cell r="P147">
            <v>1.8066214655855228E-3</v>
          </cell>
          <cell r="Q147" t="str">
            <v/>
          </cell>
          <cell r="R147">
            <v>1.4648353877763753E-2</v>
          </cell>
          <cell r="S147" t="str">
            <v/>
          </cell>
          <cell r="T147">
            <v>3.7387620872978755E-2</v>
          </cell>
          <cell r="U147">
            <v>6.5753368031064574E-2</v>
          </cell>
          <cell r="V147">
            <v>0.12450316976446407</v>
          </cell>
          <cell r="W147" t="str">
            <v/>
          </cell>
          <cell r="X147" t="str">
            <v/>
          </cell>
          <cell r="Y147">
            <v>1.9729731656353833E-3</v>
          </cell>
          <cell r="Z147" t="str">
            <v/>
          </cell>
          <cell r="AA147">
            <v>1.5369180035513574E-2</v>
          </cell>
          <cell r="AB147" t="str">
            <v/>
          </cell>
          <cell r="AC147">
            <v>3.9219206907140647E-2</v>
          </cell>
          <cell r="AD147">
            <v>6.8943718417558419E-2</v>
          </cell>
          <cell r="AE147">
            <v>0.13043414626973349</v>
          </cell>
        </row>
        <row r="148">
          <cell r="D148" t="str">
            <v>USD</v>
          </cell>
          <cell r="N148" t="str">
            <v/>
          </cell>
          <cell r="O148" t="str">
            <v/>
          </cell>
          <cell r="P148">
            <v>1.6622806069246376E-3</v>
          </cell>
          <cell r="Q148" t="str">
            <v/>
          </cell>
          <cell r="R148">
            <v>9.2836890770342517E-3</v>
          </cell>
          <cell r="S148" t="str">
            <v/>
          </cell>
          <cell r="T148">
            <v>3.0239223190937303E-2</v>
          </cell>
          <cell r="U148">
            <v>5.768196085719568E-2</v>
          </cell>
          <cell r="V148">
            <v>0.11211494297338365</v>
          </cell>
          <cell r="W148" t="str">
            <v/>
          </cell>
          <cell r="X148" t="str">
            <v/>
          </cell>
          <cell r="Y148">
            <v>1.8286563617743168E-3</v>
          </cell>
          <cell r="Z148" t="str">
            <v/>
          </cell>
          <cell r="AA148">
            <v>9.7789234135656766E-3</v>
          </cell>
          <cell r="AB148" t="str">
            <v/>
          </cell>
          <cell r="AC148">
            <v>3.1720214914026101E-2</v>
          </cell>
          <cell r="AD148">
            <v>6.0489078253941231E-2</v>
          </cell>
          <cell r="AE148">
            <v>0.11748856468622448</v>
          </cell>
        </row>
        <row r="149">
          <cell r="D149" t="str">
            <v>USD</v>
          </cell>
          <cell r="N149" t="str">
            <v/>
          </cell>
          <cell r="O149" t="str">
            <v/>
          </cell>
          <cell r="P149">
            <v>1.098631281780782E-3</v>
          </cell>
          <cell r="Q149" t="str">
            <v/>
          </cell>
          <cell r="R149">
            <v>9.6620733669479097E-3</v>
          </cell>
          <cell r="S149" t="str">
            <v/>
          </cell>
          <cell r="T149">
            <v>2.9815672895977641E-2</v>
          </cell>
          <cell r="U149">
            <v>5.2873604098409466E-2</v>
          </cell>
          <cell r="V149">
            <v>0.10182740795280198</v>
          </cell>
          <cell r="W149" t="str">
            <v/>
          </cell>
          <cell r="X149" t="str">
            <v/>
          </cell>
          <cell r="Y149">
            <v>1.2651009703629201E-3</v>
          </cell>
          <cell r="Z149" t="str">
            <v/>
          </cell>
          <cell r="AA149">
            <v>1.0157118558647427E-2</v>
          </cell>
          <cell r="AB149" t="str">
            <v/>
          </cell>
          <cell r="AC149">
            <v>3.1275930297053445E-2</v>
          </cell>
          <cell r="AD149">
            <v>5.5449510770520738E-2</v>
          </cell>
          <cell r="AE149">
            <v>0.10672068191964879</v>
          </cell>
        </row>
        <row r="150">
          <cell r="D150" t="str">
            <v>USD</v>
          </cell>
          <cell r="N150" t="str">
            <v/>
          </cell>
          <cell r="O150" t="str">
            <v/>
          </cell>
          <cell r="P150">
            <v>5.7122897326666866E-4</v>
          </cell>
          <cell r="Q150" t="str">
            <v/>
          </cell>
          <cell r="R150">
            <v>5.085291880474796E-3</v>
          </cell>
          <cell r="S150" t="str">
            <v/>
          </cell>
          <cell r="T150">
            <v>1.4303832773260083E-2</v>
          </cell>
          <cell r="U150">
            <v>2.7172247633156954E-2</v>
          </cell>
          <cell r="V150">
            <v>5.2851796365302461E-2</v>
          </cell>
          <cell r="W150" t="str">
            <v/>
          </cell>
          <cell r="X150" t="str">
            <v/>
          </cell>
          <cell r="Y150">
            <v>7.3778655492984235E-4</v>
          </cell>
          <cell r="Z150" t="str">
            <v/>
          </cell>
          <cell r="AA150">
            <v>5.5826248909025544E-3</v>
          </cell>
          <cell r="AB150" t="str">
            <v/>
          </cell>
          <cell r="AC150">
            <v>1.5124904085395685E-2</v>
          </cell>
          <cell r="AD150">
            <v>2.8462284466911902E-2</v>
          </cell>
          <cell r="AE150">
            <v>5.5380232743552305E-2</v>
          </cell>
        </row>
        <row r="151">
          <cell r="D151" t="str">
            <v>USD</v>
          </cell>
          <cell r="N151" t="str">
            <v/>
          </cell>
          <cell r="O151" t="str">
            <v/>
          </cell>
          <cell r="P151">
            <v>5.2472707603408164E-3</v>
          </cell>
          <cell r="Q151" t="str">
            <v/>
          </cell>
          <cell r="R151">
            <v>4.7598855227608428E-2</v>
          </cell>
          <cell r="S151" t="str">
            <v/>
          </cell>
          <cell r="T151">
            <v>0.12619627711057035</v>
          </cell>
          <cell r="U151">
            <v>0.19686403740828351</v>
          </cell>
          <cell r="V151">
            <v>0.30148883105488244</v>
          </cell>
          <cell r="W151" t="str">
            <v/>
          </cell>
          <cell r="X151" t="str">
            <v/>
          </cell>
          <cell r="Y151">
            <v>5.4975853646216377E-3</v>
          </cell>
          <cell r="Z151" t="str">
            <v/>
          </cell>
          <cell r="AA151">
            <v>4.9933978593332928E-2</v>
          </cell>
          <cell r="AB151" t="str">
            <v/>
          </cell>
          <cell r="AC151">
            <v>0.13220461694346375</v>
          </cell>
          <cell r="AD151">
            <v>0.20589189682417819</v>
          </cell>
          <cell r="AE151">
            <v>0.31447564127352678</v>
          </cell>
        </row>
        <row r="152">
          <cell r="D152" t="str">
            <v>USD</v>
          </cell>
          <cell r="N152" t="str">
            <v/>
          </cell>
          <cell r="O152" t="str">
            <v/>
          </cell>
          <cell r="P152">
            <v>9.2460166473706806E-4</v>
          </cell>
          <cell r="Q152" t="str">
            <v/>
          </cell>
          <cell r="R152">
            <v>3.4580234219174777E-3</v>
          </cell>
          <cell r="S152" t="str">
            <v/>
          </cell>
          <cell r="T152">
            <v>1.008067743612473E-2</v>
          </cell>
          <cell r="U152">
            <v>1.8418926946348946E-2</v>
          </cell>
          <cell r="V152">
            <v>3.545885646480984E-2</v>
          </cell>
          <cell r="W152" t="str">
            <v/>
          </cell>
          <cell r="X152" t="str">
            <v/>
          </cell>
          <cell r="Y152">
            <v>1.0911003558539134E-3</v>
          </cell>
          <cell r="Z152" t="str">
            <v/>
          </cell>
          <cell r="AA152">
            <v>3.9561698632063491E-3</v>
          </cell>
          <cell r="AB152" t="str">
            <v/>
          </cell>
          <cell r="AC152">
            <v>1.090526657841806E-2</v>
          </cell>
          <cell r="AD152">
            <v>1.9563437104142434E-2</v>
          </cell>
          <cell r="AE152">
            <v>3.7094658860433949E-2</v>
          </cell>
        </row>
        <row r="153">
          <cell r="D153" t="str">
            <v>USD</v>
          </cell>
          <cell r="N153" t="str">
            <v/>
          </cell>
          <cell r="O153" t="str">
            <v/>
          </cell>
          <cell r="P153">
            <v>8.340943702173087E-4</v>
          </cell>
          <cell r="Q153" t="str">
            <v/>
          </cell>
          <cell r="R153">
            <v>6.4228372224643948E-3</v>
          </cell>
          <cell r="S153" t="str">
            <v/>
          </cell>
          <cell r="T153">
            <v>1.8054799281657319E-2</v>
          </cell>
          <cell r="U153">
            <v>3.1561999244036687E-2</v>
          </cell>
          <cell r="V153">
            <v>5.4124256014959959E-2</v>
          </cell>
          <cell r="W153" t="str">
            <v/>
          </cell>
          <cell r="X153" t="str">
            <v/>
          </cell>
          <cell r="Y153">
            <v>1.0006081446377602E-3</v>
          </cell>
          <cell r="Z153" t="str">
            <v/>
          </cell>
          <cell r="AA153">
            <v>6.9195016274212762E-3</v>
          </cell>
          <cell r="AB153" t="str">
            <v/>
          </cell>
          <cell r="AC153">
            <v>1.8903405838031628E-2</v>
          </cell>
          <cell r="AD153">
            <v>3.3092598403416384E-2</v>
          </cell>
          <cell r="AE153">
            <v>5.6737980296451829E-2</v>
          </cell>
        </row>
        <row r="154">
          <cell r="D154" t="str">
            <v>USD</v>
          </cell>
          <cell r="N154" t="str">
            <v/>
          </cell>
          <cell r="O154" t="str">
            <v/>
          </cell>
          <cell r="P154">
            <v>1.5961899289322901E-3</v>
          </cell>
          <cell r="Q154" t="str">
            <v/>
          </cell>
          <cell r="R154">
            <v>8.6716634523497094E-3</v>
          </cell>
          <cell r="S154" t="str">
            <v/>
          </cell>
          <cell r="T154">
            <v>2.1225436764350736E-2</v>
          </cell>
          <cell r="U154">
            <v>4.2246251919678568E-2</v>
          </cell>
          <cell r="V154">
            <v>8.2899150577147362E-2</v>
          </cell>
          <cell r="W154" t="str">
            <v/>
          </cell>
          <cell r="X154" t="str">
            <v/>
          </cell>
          <cell r="Y154">
            <v>1.762576697983631E-3</v>
          </cell>
          <cell r="Z154" t="str">
            <v/>
          </cell>
          <cell r="AA154">
            <v>9.1672037252547023E-3</v>
          </cell>
          <cell r="AB154" t="str">
            <v/>
          </cell>
          <cell r="AC154">
            <v>2.2262279381029759E-2</v>
          </cell>
          <cell r="AD154">
            <v>4.4307749021993525E-2</v>
          </cell>
          <cell r="AE154">
            <v>8.690850807669126E-2</v>
          </cell>
        </row>
        <row r="155">
          <cell r="D155" t="str">
            <v>USD</v>
          </cell>
          <cell r="N155" t="str">
            <v/>
          </cell>
          <cell r="O155" t="str">
            <v/>
          </cell>
          <cell r="P155">
            <v>7.1224477434472799E-4</v>
          </cell>
          <cell r="Q155" t="str">
            <v/>
          </cell>
          <cell r="R155">
            <v>6.5666835549522684E-3</v>
          </cell>
          <cell r="S155" t="str">
            <v/>
          </cell>
          <cell r="T155">
            <v>1.6310760231267984E-2</v>
          </cell>
          <cell r="U155">
            <v>3.3266025495976126E-2</v>
          </cell>
          <cell r="V155">
            <v>5.8428269897682794E-2</v>
          </cell>
          <cell r="W155" t="str">
            <v/>
          </cell>
          <cell r="X155" t="str">
            <v/>
          </cell>
          <cell r="Y155">
            <v>8.7877885532050559E-4</v>
          </cell>
          <cell r="Z155" t="str">
            <v/>
          </cell>
          <cell r="AA155">
            <v>7.0632760546838202E-3</v>
          </cell>
          <cell r="AB155" t="str">
            <v/>
          </cell>
          <cell r="AC155">
            <v>1.7130159800532452E-2</v>
          </cell>
          <cell r="AD155">
            <v>3.4873765700496717E-2</v>
          </cell>
          <cell r="AE155">
            <v>6.1242330424628344E-2</v>
          </cell>
        </row>
        <row r="156">
          <cell r="D156" t="str">
            <v>USD</v>
          </cell>
          <cell r="N156" t="str">
            <v/>
          </cell>
          <cell r="O156" t="str">
            <v/>
          </cell>
          <cell r="P156">
            <v>7.8364665219988749E-3</v>
          </cell>
          <cell r="Q156" t="str">
            <v/>
          </cell>
          <cell r="R156">
            <v>2.8087794881320738E-2</v>
          </cell>
          <cell r="S156" t="str">
            <v/>
          </cell>
          <cell r="T156">
            <v>5.8287112837872024E-2</v>
          </cell>
          <cell r="U156">
            <v>7.9980502621488148E-2</v>
          </cell>
          <cell r="V156">
            <v>0.11164901643247116</v>
          </cell>
          <cell r="W156" t="str">
            <v/>
          </cell>
          <cell r="X156" t="str">
            <v/>
          </cell>
          <cell r="Y156">
            <v>8.2097804821331666E-3</v>
          </cell>
          <cell r="Z156" t="str">
            <v/>
          </cell>
          <cell r="AA156">
            <v>2.9470252345121684E-2</v>
          </cell>
          <cell r="AB156" t="str">
            <v/>
          </cell>
          <cell r="AC156">
            <v>6.1116517915279944E-2</v>
          </cell>
          <cell r="AD156">
            <v>8.3818577058353161E-2</v>
          </cell>
          <cell r="AE156">
            <v>0.11689084850106002</v>
          </cell>
        </row>
        <row r="157">
          <cell r="D157" t="str">
            <v>USD</v>
          </cell>
          <cell r="N157" t="str">
            <v/>
          </cell>
          <cell r="O157" t="str">
            <v/>
          </cell>
          <cell r="P157">
            <v>1.1925947635552658E-3</v>
          </cell>
          <cell r="Q157" t="str">
            <v/>
          </cell>
          <cell r="R157">
            <v>9.73807074790356E-3</v>
          </cell>
          <cell r="S157" t="str">
            <v/>
          </cell>
          <cell r="T157">
            <v>2.2877688818708664E-2</v>
          </cell>
          <cell r="U157">
            <v>4.3969995213903212E-2</v>
          </cell>
          <cell r="V157">
            <v>8.0604431475048588E-2</v>
          </cell>
          <cell r="W157" t="str">
            <v/>
          </cell>
          <cell r="X157" t="str">
            <v/>
          </cell>
          <cell r="Y157">
            <v>1.3590487928679673E-3</v>
          </cell>
          <cell r="Z157" t="str">
            <v/>
          </cell>
          <cell r="AA157">
            <v>1.0233077950445701E-2</v>
          </cell>
          <cell r="AB157" t="str">
            <v/>
          </cell>
          <cell r="AC157">
            <v>2.3999563209558539E-2</v>
          </cell>
          <cell r="AD157">
            <v>4.6118320143360925E-2</v>
          </cell>
          <cell r="AE157">
            <v>8.4481126993207201E-2</v>
          </cell>
        </row>
        <row r="158">
          <cell r="D158" t="str">
            <v>USD</v>
          </cell>
          <cell r="N158" t="str">
            <v/>
          </cell>
          <cell r="O158" t="str">
            <v/>
          </cell>
          <cell r="P158">
            <v>1.5701003083273823E-3</v>
          </cell>
          <cell r="Q158" t="str">
            <v/>
          </cell>
          <cell r="R158">
            <v>1.1243232519911439E-2</v>
          </cell>
          <cell r="S158" t="str">
            <v/>
          </cell>
          <cell r="T158">
            <v>2.9601128634811014E-2</v>
          </cell>
          <cell r="U158">
            <v>5.2394418163271173E-2</v>
          </cell>
          <cell r="V158">
            <v>8.9277068711946184E-2</v>
          </cell>
          <cell r="W158" t="str">
            <v/>
          </cell>
          <cell r="X158" t="str">
            <v/>
          </cell>
          <cell r="Y158">
            <v>1.7364914252825381E-3</v>
          </cell>
          <cell r="Z158" t="str">
            <v/>
          </cell>
          <cell r="AA158">
            <v>1.1783193413901216E-2</v>
          </cell>
          <cell r="AB158" t="str">
            <v/>
          </cell>
          <cell r="AC158">
            <v>3.1055977993196038E-2</v>
          </cell>
          <cell r="AD158">
            <v>5.4951360876231758E-2</v>
          </cell>
          <cell r="AE158">
            <v>9.3554478820673803E-2</v>
          </cell>
        </row>
        <row r="159">
          <cell r="D159" t="str">
            <v>USD</v>
          </cell>
          <cell r="N159" t="str">
            <v/>
          </cell>
          <cell r="O159" t="str">
            <v/>
          </cell>
          <cell r="P159">
            <v>1.0951509843343255E-3</v>
          </cell>
          <cell r="Q159" t="str">
            <v/>
          </cell>
          <cell r="R159">
            <v>9.2839223569847196E-3</v>
          </cell>
          <cell r="S159" t="str">
            <v/>
          </cell>
          <cell r="T159">
            <v>2.250367684330834E-2</v>
          </cell>
          <cell r="U159">
            <v>3.9750330332928074E-2</v>
          </cell>
          <cell r="V159">
            <v>6.7589492820743002E-2</v>
          </cell>
          <cell r="W159" t="str">
            <v/>
          </cell>
          <cell r="X159" t="str">
            <v/>
          </cell>
          <cell r="Y159">
            <v>1.2616212529423798E-3</v>
          </cell>
          <cell r="Z159" t="str">
            <v/>
          </cell>
          <cell r="AA159">
            <v>9.7791565769326239E-3</v>
          </cell>
          <cell r="AB159" t="str">
            <v/>
          </cell>
          <cell r="AC159">
            <v>2.3604503034093005E-2</v>
          </cell>
          <cell r="AD159">
            <v>4.169154747240611E-2</v>
          </cell>
          <cell r="AE159">
            <v>7.0852412920664243E-2</v>
          </cell>
        </row>
        <row r="160">
          <cell r="D160" t="str">
            <v>USD</v>
          </cell>
          <cell r="N160" t="str">
            <v/>
          </cell>
          <cell r="O160" t="str">
            <v/>
          </cell>
          <cell r="P160">
            <v>2.154345710658867E-3</v>
          </cell>
          <cell r="Q160" t="str">
            <v/>
          </cell>
          <cell r="R160">
            <v>2.0837088365850742E-2</v>
          </cell>
          <cell r="S160" t="str">
            <v/>
          </cell>
          <cell r="T160">
            <v>4.8636097575237569E-2</v>
          </cell>
          <cell r="U160">
            <v>8.9029532176837622E-2</v>
          </cell>
          <cell r="V160">
            <v>0.15895615519206197</v>
          </cell>
          <cell r="W160" t="str">
            <v/>
          </cell>
          <cell r="X160" t="str">
            <v/>
          </cell>
          <cell r="Y160">
            <v>2.3206394615087333E-3</v>
          </cell>
          <cell r="Z160" t="str">
            <v/>
          </cell>
          <cell r="AA160">
            <v>2.1862530187656715E-2</v>
          </cell>
          <cell r="AB160" t="str">
            <v/>
          </cell>
          <cell r="AC160">
            <v>5.1008296783543239E-2</v>
          </cell>
          <cell r="AD160">
            <v>9.3306890496322348E-2</v>
          </cell>
          <cell r="AE160">
            <v>0.16641177200494184</v>
          </cell>
        </row>
        <row r="161">
          <cell r="D161" t="str">
            <v>USD</v>
          </cell>
          <cell r="N161" t="str">
            <v/>
          </cell>
          <cell r="O161" t="str">
            <v/>
          </cell>
          <cell r="P161">
            <v>5.821741553109705E-2</v>
          </cell>
          <cell r="Q161" t="str">
            <v/>
          </cell>
          <cell r="R161">
            <v>0.15874818102622612</v>
          </cell>
          <cell r="S161" t="str">
            <v/>
          </cell>
          <cell r="T161">
            <v>0.2201260414531192</v>
          </cell>
          <cell r="U161">
            <v>0.27397554793238499</v>
          </cell>
          <cell r="V161">
            <v>0.35510824860983914</v>
          </cell>
          <cell r="W161" t="str">
            <v/>
          </cell>
          <cell r="X161" t="str">
            <v/>
          </cell>
          <cell r="Y161">
            <v>6.1037570856607548E-2</v>
          </cell>
          <cell r="Z161" t="str">
            <v/>
          </cell>
          <cell r="AA161">
            <v>0.16598417161747736</v>
          </cell>
          <cell r="AB161" t="str">
            <v/>
          </cell>
          <cell r="AC161">
            <v>0.22962911954920995</v>
          </cell>
          <cell r="AD161">
            <v>0.28525265752528317</v>
          </cell>
          <cell r="AE161">
            <v>0.36874990003375785</v>
          </cell>
        </row>
        <row r="162">
          <cell r="D162" t="str">
            <v>USD</v>
          </cell>
          <cell r="N162" t="str">
            <v/>
          </cell>
          <cell r="O162" t="str">
            <v/>
          </cell>
          <cell r="P162">
            <v>1.884869900930175E-3</v>
          </cell>
          <cell r="Q162" t="str">
            <v/>
          </cell>
          <cell r="R162">
            <v>1.5669789897249209E-2</v>
          </cell>
          <cell r="S162" t="str">
            <v/>
          </cell>
          <cell r="T162">
            <v>4.1980963584316688E-2</v>
          </cell>
          <cell r="U162">
            <v>7.8591607863886415E-2</v>
          </cell>
          <cell r="V162">
            <v>0.1488906151642948</v>
          </cell>
          <cell r="W162" t="str">
            <v/>
          </cell>
          <cell r="X162" t="str">
            <v/>
          </cell>
          <cell r="Y162">
            <v>2.0512085606729791E-3</v>
          </cell>
          <cell r="Z162" t="str">
            <v/>
          </cell>
          <cell r="AA162">
            <v>1.6441110351531729E-2</v>
          </cell>
          <cell r="AB162" t="str">
            <v/>
          </cell>
          <cell r="AC162">
            <v>4.4034383128201515E-2</v>
          </cell>
          <cell r="AD162">
            <v>8.238788878657588E-2</v>
          </cell>
          <cell r="AE162">
            <v>0.15592501050698182</v>
          </cell>
        </row>
        <row r="163">
          <cell r="D163" t="str">
            <v>USD</v>
          </cell>
          <cell r="N163" t="str">
            <v/>
          </cell>
          <cell r="O163" t="str">
            <v/>
          </cell>
          <cell r="P163">
            <v>1.9092126173561041E-3</v>
          </cell>
          <cell r="Q163" t="str">
            <v/>
          </cell>
          <cell r="R163">
            <v>8.4206163972679882E-3</v>
          </cell>
          <cell r="S163" t="str">
            <v/>
          </cell>
          <cell r="T163">
            <v>2.0795157387961449E-2</v>
          </cell>
          <cell r="U163">
            <v>3.2069747883377242E-2</v>
          </cell>
          <cell r="V163">
            <v>5.7210306135425881E-2</v>
          </cell>
          <cell r="W163" t="str">
            <v/>
          </cell>
          <cell r="X163" t="str">
            <v/>
          </cell>
          <cell r="Y163">
            <v>2.0755472203127789E-3</v>
          </cell>
          <cell r="Z163" t="str">
            <v/>
          </cell>
          <cell r="AA163">
            <v>8.9162821623092192E-3</v>
          </cell>
          <cell r="AB163" t="str">
            <v/>
          </cell>
          <cell r="AC163">
            <v>2.1810762393258298E-2</v>
          </cell>
          <cell r="AD163">
            <v>3.3636079736861224E-2</v>
          </cell>
          <cell r="AE163">
            <v>5.9980558344039925E-2</v>
          </cell>
        </row>
        <row r="164">
          <cell r="D164" t="str">
            <v>USD</v>
          </cell>
          <cell r="N164" t="str">
            <v/>
          </cell>
          <cell r="O164" t="str">
            <v/>
          </cell>
          <cell r="P164">
            <v>2.6183702964491795E-3</v>
          </cell>
          <cell r="Q164" t="str">
            <v/>
          </cell>
          <cell r="R164">
            <v>1.3357356780943741E-2</v>
          </cell>
          <cell r="S164" t="str">
            <v/>
          </cell>
          <cell r="T164">
            <v>3.2298219002403372E-2</v>
          </cell>
          <cell r="U164">
            <v>5.8202299161579818E-2</v>
          </cell>
          <cell r="V164">
            <v>0.10026348702190813</v>
          </cell>
          <cell r="W164" t="str">
            <v/>
          </cell>
          <cell r="X164" t="str">
            <v/>
          </cell>
          <cell r="Y164">
            <v>2.7845867163173166E-3</v>
          </cell>
          <cell r="Z164" t="str">
            <v/>
          </cell>
          <cell r="AA164">
            <v>1.4000684616909287E-2</v>
          </cell>
          <cell r="AB164" t="str">
            <v/>
          </cell>
          <cell r="AC164">
            <v>3.3887828692784838E-2</v>
          </cell>
          <cell r="AD164">
            <v>6.1039353672193708E-2</v>
          </cell>
          <cell r="AE164">
            <v>0.1050772366226238</v>
          </cell>
        </row>
        <row r="165">
          <cell r="D165" t="str">
            <v>USD</v>
          </cell>
          <cell r="N165" t="str">
            <v/>
          </cell>
          <cell r="O165" t="str">
            <v/>
          </cell>
          <cell r="P165">
            <v>9.2460166473706806E-4</v>
          </cell>
          <cell r="Q165" t="str">
            <v/>
          </cell>
          <cell r="R165">
            <v>7.470381583691732E-3</v>
          </cell>
          <cell r="S165" t="str">
            <v/>
          </cell>
          <cell r="T165">
            <v>1.8368735344553078E-2</v>
          </cell>
          <cell r="U165">
            <v>3.4273021749911092E-2</v>
          </cell>
          <cell r="V165">
            <v>7.0712543952203055E-2</v>
          </cell>
          <cell r="W165" t="str">
            <v/>
          </cell>
          <cell r="X165" t="str">
            <v/>
          </cell>
          <cell r="Y165">
            <v>1.0911003558539134E-3</v>
          </cell>
          <cell r="Z165" t="str">
            <v/>
          </cell>
          <cell r="AA165">
            <v>7.9665223473627256E-3</v>
          </cell>
          <cell r="AB165" t="str">
            <v/>
          </cell>
          <cell r="AC165">
            <v>1.9236686056810059E-2</v>
          </cell>
          <cell r="AD165">
            <v>3.5941475122733491E-2</v>
          </cell>
          <cell r="AE165">
            <v>7.4118402187968724E-2</v>
          </cell>
        </row>
        <row r="166">
          <cell r="D166" t="str">
            <v>USD</v>
          </cell>
          <cell r="N166" t="str">
            <v/>
          </cell>
          <cell r="O166" t="str">
            <v/>
          </cell>
          <cell r="P166">
            <v>5.119270003759846E-2</v>
          </cell>
          <cell r="Q166" t="str">
            <v/>
          </cell>
          <cell r="R166">
            <v>0.10405072873309884</v>
          </cell>
          <cell r="S166" t="str">
            <v/>
          </cell>
          <cell r="T166">
            <v>0.13885399366509332</v>
          </cell>
          <cell r="U166">
            <v>0.17146261438115917</v>
          </cell>
          <cell r="V166">
            <v>0.22235300798901358</v>
          </cell>
          <cell r="W166" t="str">
            <v/>
          </cell>
          <cell r="X166" t="str">
            <v/>
          </cell>
          <cell r="Y166">
            <v>5.3682351336240997E-2</v>
          </cell>
          <cell r="Z166" t="str">
            <v/>
          </cell>
          <cell r="AA166">
            <v>0.10891796013633714</v>
          </cell>
          <cell r="AB166" t="str">
            <v/>
          </cell>
          <cell r="AC166">
            <v>0.14514193257005248</v>
          </cell>
          <cell r="AD166">
            <v>0.17904101841295417</v>
          </cell>
          <cell r="AE166">
            <v>0.23185153536789604</v>
          </cell>
        </row>
        <row r="167">
          <cell r="D167" t="str">
            <v>USD</v>
          </cell>
          <cell r="N167" t="str">
            <v/>
          </cell>
          <cell r="O167" t="str">
            <v/>
          </cell>
          <cell r="P167">
            <v>1.4344233748667667E-3</v>
          </cell>
          <cell r="Q167" t="str">
            <v/>
          </cell>
          <cell r="R167">
            <v>1.3038342816423021E-2</v>
          </cell>
          <cell r="S167" t="str">
            <v/>
          </cell>
          <cell r="T167">
            <v>3.0272966438632865E-2</v>
          </cell>
          <cell r="U167">
            <v>5.5565743981242477E-2</v>
          </cell>
          <cell r="V167">
            <v>0.10337723918102348</v>
          </cell>
          <cell r="W167" t="str">
            <v/>
          </cell>
          <cell r="X167" t="str">
            <v/>
          </cell>
          <cell r="Y167">
            <v>1.6008371027559365E-3</v>
          </cell>
          <cell r="Z167" t="str">
            <v/>
          </cell>
          <cell r="AA167">
            <v>1.366239868610919E-2</v>
          </cell>
          <cell r="AB167" t="str">
            <v/>
          </cell>
          <cell r="AC167">
            <v>3.1760059409167374E-2</v>
          </cell>
          <cell r="AD167">
            <v>5.8273349565457488E-2</v>
          </cell>
          <cell r="AE167">
            <v>0.10834103742582712</v>
          </cell>
        </row>
        <row r="168">
          <cell r="D168" t="str">
            <v>USD</v>
          </cell>
          <cell r="N168" t="str">
            <v/>
          </cell>
          <cell r="O168" t="str">
            <v/>
          </cell>
          <cell r="P168">
            <v>1.1925947635552658E-3</v>
          </cell>
          <cell r="Q168" t="str">
            <v/>
          </cell>
          <cell r="R168">
            <v>1.1695845056667875E-2</v>
          </cell>
          <cell r="S168" t="str">
            <v/>
          </cell>
          <cell r="T168">
            <v>2.958330780401941E-2</v>
          </cell>
          <cell r="U168">
            <v>5.9803637455722702E-2</v>
          </cell>
          <cell r="V168">
            <v>0.11195603642452412</v>
          </cell>
          <cell r="W168" t="str">
            <v/>
          </cell>
          <cell r="X168" t="str">
            <v/>
          </cell>
          <cell r="Y168">
            <v>1.3590487928679673E-3</v>
          </cell>
          <cell r="Z168" t="str">
            <v/>
          </cell>
          <cell r="AA168">
            <v>1.225580774207502E-2</v>
          </cell>
          <cell r="AB168" t="str">
            <v/>
          </cell>
          <cell r="AC168">
            <v>3.1036021044992701E-2</v>
          </cell>
          <cell r="AD168">
            <v>6.2714669456472416E-2</v>
          </cell>
          <cell r="AE168">
            <v>0.11732145397522875</v>
          </cell>
        </row>
        <row r="169">
          <cell r="D169" t="str">
            <v>USD</v>
          </cell>
          <cell r="N169" t="str">
            <v/>
          </cell>
          <cell r="O169" t="str">
            <v/>
          </cell>
          <cell r="P169">
            <v>7.9057835069185067E-4</v>
          </cell>
          <cell r="Q169" t="str">
            <v/>
          </cell>
          <cell r="R169">
            <v>8.0406524492514508E-3</v>
          </cell>
          <cell r="S169" t="str">
            <v/>
          </cell>
          <cell r="T169">
            <v>1.9623897878129459E-2</v>
          </cell>
          <cell r="U169">
            <v>3.6446200688994512E-2</v>
          </cell>
          <cell r="V169">
            <v>6.3995539865183915E-2</v>
          </cell>
          <cell r="W169" t="str">
            <v/>
          </cell>
          <cell r="X169" t="str">
            <v/>
          </cell>
          <cell r="Y169">
            <v>9.5709937717136651E-4</v>
          </cell>
          <cell r="Z169" t="str">
            <v/>
          </cell>
          <cell r="AA169">
            <v>8.5365081487481786E-3</v>
          </cell>
          <cell r="AB169" t="str">
            <v/>
          </cell>
          <cell r="AC169">
            <v>2.0575833178585912E-2</v>
          </cell>
          <cell r="AD169">
            <v>3.8220231990660491E-2</v>
          </cell>
          <cell r="AE169">
            <v>6.7083602051609903E-2</v>
          </cell>
        </row>
        <row r="170">
          <cell r="D170" t="str">
            <v>USD</v>
          </cell>
          <cell r="N170" t="str">
            <v/>
          </cell>
          <cell r="O170" t="str">
            <v/>
          </cell>
          <cell r="P170">
            <v>1.2848096503803585E-3</v>
          </cell>
          <cell r="Q170" t="str">
            <v/>
          </cell>
          <cell r="R170">
            <v>1.0399644455154178E-2</v>
          </cell>
          <cell r="S170" t="str">
            <v/>
          </cell>
          <cell r="T170">
            <v>2.1066086325637778E-2</v>
          </cell>
          <cell r="U170">
            <v>3.3653592399698562E-2</v>
          </cell>
          <cell r="V170">
            <v>6.2807423920585692E-2</v>
          </cell>
          <cell r="W170" t="str">
            <v/>
          </cell>
          <cell r="X170" t="str">
            <v/>
          </cell>
          <cell r="Y170">
            <v>1.4512483118231945E-3</v>
          </cell>
          <cell r="Z170" t="str">
            <v/>
          </cell>
          <cell r="AA170">
            <v>1.0898771919055195E-2</v>
          </cell>
          <cell r="AB170" t="str">
            <v/>
          </cell>
          <cell r="AC170">
            <v>2.2102336341621842E-2</v>
          </cell>
          <cell r="AD170">
            <v>3.5303922656579889E-2</v>
          </cell>
          <cell r="AE170">
            <v>6.5849955670386762E-2</v>
          </cell>
        </row>
        <row r="171">
          <cell r="D171" t="str">
            <v>USD</v>
          </cell>
          <cell r="N171" t="str">
            <v/>
          </cell>
          <cell r="O171" t="str">
            <v/>
          </cell>
          <cell r="P171">
            <v>1.6970634305609744E-3</v>
          </cell>
          <cell r="Q171" t="str">
            <v/>
          </cell>
          <cell r="R171">
            <v>1.5921595357134888E-2</v>
          </cell>
          <cell r="S171" t="str">
            <v/>
          </cell>
          <cell r="T171">
            <v>4.1968655930352816E-2</v>
          </cell>
          <cell r="U171">
            <v>7.246794512805943E-2</v>
          </cell>
          <cell r="V171">
            <v>0.12030738887942405</v>
          </cell>
          <cell r="W171" t="str">
            <v/>
          </cell>
          <cell r="X171" t="str">
            <v/>
          </cell>
          <cell r="Y171">
            <v>1.863433388761937E-3</v>
          </cell>
          <cell r="Z171" t="str">
            <v/>
          </cell>
          <cell r="AA171">
            <v>1.6704597660024634E-2</v>
          </cell>
          <cell r="AB171" t="str">
            <v/>
          </cell>
          <cell r="AC171">
            <v>4.402078214058891E-2</v>
          </cell>
          <cell r="AD171">
            <v>7.5973914059089376E-2</v>
          </cell>
          <cell r="AE171">
            <v>0.1260228188110506</v>
          </cell>
        </row>
        <row r="172">
          <cell r="D172" t="str">
            <v>USD</v>
          </cell>
          <cell r="N172" t="str">
            <v/>
          </cell>
          <cell r="O172" t="str">
            <v/>
          </cell>
          <cell r="P172">
            <v>0.13807484687210114</v>
          </cell>
          <cell r="Q172" t="str">
            <v/>
          </cell>
          <cell r="R172">
            <v>0.22515415972382491</v>
          </cell>
          <cell r="S172" t="str">
            <v/>
          </cell>
          <cell r="T172">
            <v>0.26183627527810038</v>
          </cell>
          <cell r="U172">
            <v>0.2877553619599611</v>
          </cell>
          <cell r="V172">
            <v>0.34335420373512016</v>
          </cell>
          <cell r="W172" t="str">
            <v/>
          </cell>
          <cell r="X172" t="str">
            <v/>
          </cell>
          <cell r="Y172">
            <v>0.14445442238797079</v>
          </cell>
          <cell r="Z172" t="str">
            <v/>
          </cell>
          <cell r="AA172">
            <v>0.23462725458681144</v>
          </cell>
          <cell r="AB172" t="str">
            <v/>
          </cell>
          <cell r="AC172">
            <v>0.27225021612502287</v>
          </cell>
          <cell r="AD172">
            <v>0.2987385073407387</v>
          </cell>
          <cell r="AE172">
            <v>0.35582335695145795</v>
          </cell>
        </row>
        <row r="173">
          <cell r="D173" t="str">
            <v>USD</v>
          </cell>
          <cell r="N173" t="str">
            <v/>
          </cell>
          <cell r="O173" t="str">
            <v/>
          </cell>
          <cell r="P173">
            <v>1.7092371347555702E-3</v>
          </cell>
          <cell r="Q173" t="str">
            <v/>
          </cell>
          <cell r="R173">
            <v>1.6400537160739304E-2</v>
          </cell>
          <cell r="S173" t="str">
            <v/>
          </cell>
          <cell r="T173">
            <v>3.9342377916388727E-2</v>
          </cell>
          <cell r="U173">
            <v>7.0936827671697511E-2</v>
          </cell>
          <cell r="V173">
            <v>0.12585237432359386</v>
          </cell>
          <cell r="W173" t="str">
            <v/>
          </cell>
          <cell r="X173" t="str">
            <v/>
          </cell>
          <cell r="Y173">
            <v>1.8756050641933752E-3</v>
          </cell>
          <cell r="Z173" t="str">
            <v/>
          </cell>
          <cell r="AA173">
            <v>1.7207099081474664E-2</v>
          </cell>
          <cell r="AB173" t="str">
            <v/>
          </cell>
          <cell r="AC173">
            <v>4.1267610856316028E-2</v>
          </cell>
          <cell r="AD173">
            <v>7.4370570339190367E-2</v>
          </cell>
          <cell r="AE173">
            <v>0.13183234630387985</v>
          </cell>
        </row>
        <row r="174">
          <cell r="D174" t="str">
            <v>USD</v>
          </cell>
          <cell r="N174" t="str">
            <v/>
          </cell>
          <cell r="O174" t="str">
            <v/>
          </cell>
          <cell r="P174">
            <v>2.0987179082332386E-3</v>
          </cell>
          <cell r="Q174" t="str">
            <v/>
          </cell>
          <cell r="R174">
            <v>1.4626114585749139E-2</v>
          </cell>
          <cell r="S174" t="str">
            <v/>
          </cell>
          <cell r="T174">
            <v>4.0365201089771818E-2</v>
          </cell>
          <cell r="U174">
            <v>7.6197572972166783E-2</v>
          </cell>
          <cell r="V174">
            <v>0.12852712383817055</v>
          </cell>
          <cell r="W174" t="str">
            <v/>
          </cell>
          <cell r="X174" t="str">
            <v/>
          </cell>
          <cell r="Y174">
            <v>2.2650209296275481E-3</v>
          </cell>
          <cell r="Z174" t="str">
            <v/>
          </cell>
          <cell r="AA174">
            <v>1.5346908690983874E-2</v>
          </cell>
          <cell r="AB174" t="str">
            <v/>
          </cell>
          <cell r="AC174">
            <v>4.2341709982690823E-2</v>
          </cell>
          <cell r="AD174">
            <v>7.9883379854032044E-2</v>
          </cell>
          <cell r="AE174">
            <v>0.13462598698001715</v>
          </cell>
        </row>
        <row r="175">
          <cell r="D175" t="str">
            <v>USD</v>
          </cell>
          <cell r="N175" t="str">
            <v/>
          </cell>
          <cell r="O175" t="str">
            <v/>
          </cell>
          <cell r="P175">
            <v>8.7586797898520086E-4</v>
          </cell>
          <cell r="Q175" t="str">
            <v/>
          </cell>
          <cell r="R175">
            <v>1.1087795107708742E-2</v>
          </cell>
          <cell r="S175" t="str">
            <v/>
          </cell>
          <cell r="T175">
            <v>2.5350666798997223E-2</v>
          </cell>
          <cell r="U175">
            <v>4.6730057726042884E-2</v>
          </cell>
          <cell r="V175">
            <v>8.7475405910012793E-2</v>
          </cell>
          <cell r="W175" t="str">
            <v/>
          </cell>
          <cell r="X175" t="str">
            <v/>
          </cell>
          <cell r="Y175">
            <v>1.0423747917156501E-3</v>
          </cell>
          <cell r="Z175" t="str">
            <v/>
          </cell>
          <cell r="AA175">
            <v>1.1617957115166111E-2</v>
          </cell>
          <cell r="AB175" t="str">
            <v/>
          </cell>
          <cell r="AC175">
            <v>2.6595582210331203E-2</v>
          </cell>
          <cell r="AD175">
            <v>4.9012688360244416E-2</v>
          </cell>
          <cell r="AE175">
            <v>9.169925325572037E-2</v>
          </cell>
        </row>
        <row r="176">
          <cell r="D176" t="str">
            <v>USD</v>
          </cell>
          <cell r="N176" t="str">
            <v/>
          </cell>
          <cell r="O176" t="str">
            <v/>
          </cell>
          <cell r="P176">
            <v>2.6583324377572604E-3</v>
          </cell>
          <cell r="Q176" t="str">
            <v/>
          </cell>
          <cell r="R176">
            <v>1.5166764449205505E-2</v>
          </cell>
          <cell r="S176" t="str">
            <v/>
          </cell>
          <cell r="T176">
            <v>3.9399652196188684E-2</v>
          </cell>
          <cell r="U176">
            <v>6.7711340148443599E-2</v>
          </cell>
          <cell r="V176">
            <v>0.12774779669881087</v>
          </cell>
          <cell r="W176" t="str">
            <v/>
          </cell>
          <cell r="X176" t="str">
            <v/>
          </cell>
          <cell r="Y176">
            <v>2.8245421978129182E-3</v>
          </cell>
          <cell r="Z176" t="str">
            <v/>
          </cell>
          <cell r="AA176">
            <v>1.591617966654868E-2</v>
          </cell>
          <cell r="AB176" t="str">
            <v/>
          </cell>
          <cell r="AC176">
            <v>4.1331193276634592E-2</v>
          </cell>
          <cell r="AD176">
            <v>7.0996314731168519E-2</v>
          </cell>
          <cell r="AE176">
            <v>0.13382592182969355</v>
          </cell>
        </row>
        <row r="177">
          <cell r="D177" t="str">
            <v>USD</v>
          </cell>
          <cell r="N177" t="str">
            <v/>
          </cell>
          <cell r="O177" t="str">
            <v/>
          </cell>
          <cell r="P177">
            <v>9.3852514155678968E-4</v>
          </cell>
          <cell r="Q177" t="str">
            <v/>
          </cell>
          <cell r="R177">
            <v>9.2954370810863773E-3</v>
          </cell>
          <cell r="S177" t="str">
            <v/>
          </cell>
          <cell r="T177">
            <v>2.2515417526552395E-2</v>
          </cell>
          <cell r="U177">
            <v>3.9762234227864734E-2</v>
          </cell>
          <cell r="V177">
            <v>6.7601449343038467E-2</v>
          </cell>
          <cell r="W177" t="str">
            <v/>
          </cell>
          <cell r="X177" t="str">
            <v/>
          </cell>
          <cell r="Y177">
            <v>1.1050215122728746E-3</v>
          </cell>
          <cell r="Z177" t="str">
            <v/>
          </cell>
          <cell r="AA177">
            <v>9.7906655451526214E-3</v>
          </cell>
          <cell r="AB177" t="str">
            <v/>
          </cell>
          <cell r="AC177">
            <v>2.3616292111189874E-2</v>
          </cell>
          <cell r="AD177">
            <v>4.1703506935052981E-2</v>
          </cell>
          <cell r="AE177">
            <v>7.0864425736262282E-2</v>
          </cell>
        </row>
        <row r="178">
          <cell r="D178" t="str">
            <v>USD</v>
          </cell>
          <cell r="N178" t="str">
            <v/>
          </cell>
          <cell r="O178" t="str">
            <v/>
          </cell>
          <cell r="P178">
            <v>1.0794894968995106E-3</v>
          </cell>
          <cell r="Q178" t="str">
            <v/>
          </cell>
          <cell r="R178">
            <v>8.0662846369292662E-3</v>
          </cell>
          <cell r="S178" t="str">
            <v/>
          </cell>
          <cell r="T178">
            <v>1.8724885265075986E-2</v>
          </cell>
          <cell r="U178">
            <v>3.4528739405951803E-2</v>
          </cell>
          <cell r="V178">
            <v>6.4185559391692792E-2</v>
          </cell>
          <cell r="W178" t="str">
            <v/>
          </cell>
          <cell r="X178" t="str">
            <v/>
          </cell>
          <cell r="Y178">
            <v>1.2459623755439742E-3</v>
          </cell>
          <cell r="Z178" t="str">
            <v/>
          </cell>
          <cell r="AA178">
            <v>8.562127523572105E-3</v>
          </cell>
          <cell r="AB178" t="str">
            <v/>
          </cell>
          <cell r="AC178">
            <v>1.9633850888337911E-2</v>
          </cell>
          <cell r="AD178">
            <v>3.6210717213762678E-2</v>
          </cell>
          <cell r="AE178">
            <v>6.7284203534102027E-2</v>
          </cell>
        </row>
        <row r="179">
          <cell r="D179" t="str">
            <v>USD</v>
          </cell>
          <cell r="N179" t="str">
            <v/>
          </cell>
          <cell r="O179" t="str">
            <v/>
          </cell>
          <cell r="P179">
            <v>1.8292271942728089E-3</v>
          </cell>
          <cell r="Q179" t="str">
            <v/>
          </cell>
          <cell r="R179">
            <v>1.1291216581762353E-2</v>
          </cell>
          <cell r="S179" t="str">
            <v/>
          </cell>
          <cell r="T179">
            <v>2.7846363325093493E-2</v>
          </cell>
          <cell r="U179">
            <v>5.1896319389173606E-2</v>
          </cell>
          <cell r="V179">
            <v>8.9745295800385483E-2</v>
          </cell>
          <cell r="W179" t="str">
            <v/>
          </cell>
          <cell r="X179" t="str">
            <v/>
          </cell>
          <cell r="Y179">
            <v>1.9955751270438471E-3</v>
          </cell>
          <cell r="Z179" t="str">
            <v/>
          </cell>
          <cell r="AA179">
            <v>1.1834362815151378E-2</v>
          </cell>
          <cell r="AB179" t="str">
            <v/>
          </cell>
          <cell r="AC179">
            <v>2.9216461833706076E-2</v>
          </cell>
          <cell r="AD179">
            <v>5.4430539628843033E-2</v>
          </cell>
          <cell r="AE179">
            <v>9.4046961940635887E-2</v>
          </cell>
        </row>
        <row r="180">
          <cell r="D180" t="str">
            <v>USD</v>
          </cell>
          <cell r="N180" t="str">
            <v/>
          </cell>
          <cell r="O180" t="str">
            <v/>
          </cell>
          <cell r="P180">
            <v>6.3564604936616753E-4</v>
          </cell>
          <cell r="Q180" t="str">
            <v/>
          </cell>
          <cell r="R180">
            <v>1.232755895740989E-2</v>
          </cell>
          <cell r="S180" t="str">
            <v/>
          </cell>
          <cell r="T180">
            <v>2.6105103251375161E-2</v>
          </cell>
          <cell r="U180">
            <v>4.7296286091603523E-2</v>
          </cell>
          <cell r="V180">
            <v>8.5686462834950849E-2</v>
          </cell>
          <cell r="W180" t="str">
            <v/>
          </cell>
          <cell r="X180" t="str">
            <v/>
          </cell>
          <cell r="Y180">
            <v>8.0219289572902586E-4</v>
          </cell>
          <cell r="Z180" t="str">
            <v/>
          </cell>
          <cell r="AA180">
            <v>1.2915296035349244E-2</v>
          </cell>
          <cell r="AB180" t="str">
            <v/>
          </cell>
          <cell r="AC180">
            <v>2.7386096002532501E-2</v>
          </cell>
          <cell r="AD180">
            <v>4.9604653599749859E-2</v>
          </cell>
          <cell r="AE180">
            <v>8.979639725196964E-2</v>
          </cell>
        </row>
        <row r="181">
          <cell r="D181" t="str">
            <v>USD</v>
          </cell>
          <cell r="N181" t="str">
            <v/>
          </cell>
          <cell r="O181" t="str">
            <v/>
          </cell>
          <cell r="P181">
            <v>2.3855158044079339E-3</v>
          </cell>
          <cell r="Q181" t="str">
            <v/>
          </cell>
          <cell r="R181">
            <v>9.9038741877984782E-3</v>
          </cell>
          <cell r="S181" t="str">
            <v/>
          </cell>
          <cell r="T181">
            <v>2.8811116035990514E-2</v>
          </cell>
          <cell r="U181">
            <v>5.3927610573568763E-2</v>
          </cell>
          <cell r="V181">
            <v>9.2241299365523055E-2</v>
          </cell>
          <cell r="W181" t="str">
            <v/>
          </cell>
          <cell r="X181" t="str">
            <v/>
          </cell>
          <cell r="Y181">
            <v>2.5517710301382612E-3</v>
          </cell>
          <cell r="Z181" t="str">
            <v/>
          </cell>
          <cell r="AA181">
            <v>1.0398798509320129E-2</v>
          </cell>
          <cell r="AB181" t="str">
            <v/>
          </cell>
          <cell r="AC181">
            <v>3.0228478614932608E-2</v>
          </cell>
          <cell r="AD181">
            <v>5.6560302783526084E-2</v>
          </cell>
          <cell r="AE181">
            <v>9.6658908516762176E-2</v>
          </cell>
        </row>
        <row r="182">
          <cell r="D182" t="str">
            <v>USD</v>
          </cell>
          <cell r="N182" t="str">
            <v/>
          </cell>
          <cell r="O182" t="str">
            <v/>
          </cell>
          <cell r="P182">
            <v>7.67949277032276E-4</v>
          </cell>
          <cell r="Q182" t="str">
            <v/>
          </cell>
          <cell r="R182">
            <v>7.4817602052102972E-3</v>
          </cell>
          <cell r="S182" t="str">
            <v/>
          </cell>
          <cell r="T182">
            <v>1.7516019693057716E-2</v>
          </cell>
          <cell r="U182">
            <v>3.3738299442808928E-2</v>
          </cell>
          <cell r="V182">
            <v>6.4252704547707373E-2</v>
          </cell>
          <cell r="W182" t="str">
            <v/>
          </cell>
          <cell r="X182" t="str">
            <v/>
          </cell>
          <cell r="Y182">
            <v>9.3447407468105759E-4</v>
          </cell>
          <cell r="Z182" t="str">
            <v/>
          </cell>
          <cell r="AA182">
            <v>7.9778952809627102E-3</v>
          </cell>
          <cell r="AB182" t="str">
            <v/>
          </cell>
          <cell r="AC182">
            <v>1.8345458973513251E-2</v>
          </cell>
          <cell r="AD182">
            <v>3.5379829489916248E-2</v>
          </cell>
          <cell r="AE182">
            <v>6.7353371649799043E-2</v>
          </cell>
        </row>
        <row r="183">
          <cell r="D183" t="str">
            <v>USD</v>
          </cell>
          <cell r="N183" t="str">
            <v/>
          </cell>
          <cell r="O183" t="str">
            <v/>
          </cell>
          <cell r="P183">
            <v>1.3335235378534316E-3</v>
          </cell>
          <cell r="Q183" t="str">
            <v/>
          </cell>
          <cell r="R183">
            <v>1.2911486846757914E-2</v>
          </cell>
          <cell r="S183" t="str">
            <v/>
          </cell>
          <cell r="T183">
            <v>2.7710532102136254E-2</v>
          </cell>
          <cell r="U183">
            <v>5.1326265395358783E-2</v>
          </cell>
          <cell r="V183">
            <v>8.9150795987418485E-2</v>
          </cell>
          <cell r="W183" t="str">
            <v/>
          </cell>
          <cell r="X183" t="str">
            <v/>
          </cell>
          <cell r="Y183">
            <v>1.4999540809821355E-3</v>
          </cell>
          <cell r="Z183" t="str">
            <v/>
          </cell>
          <cell r="AA183">
            <v>1.3529210888179266E-2</v>
          </cell>
          <cell r="AB183" t="str">
            <v/>
          </cell>
          <cell r="AC183">
            <v>2.9072293782059999E-2</v>
          </cell>
          <cell r="AD183">
            <v>5.3830485640520065E-2</v>
          </cell>
          <cell r="AE183">
            <v>9.3422036898548444E-2</v>
          </cell>
        </row>
        <row r="184">
          <cell r="D184" t="str">
            <v>USD</v>
          </cell>
          <cell r="N184" t="str">
            <v/>
          </cell>
          <cell r="O184" t="str">
            <v/>
          </cell>
          <cell r="P184">
            <v>2.9467077640770167E-3</v>
          </cell>
          <cell r="Q184" t="str">
            <v/>
          </cell>
          <cell r="R184">
            <v>2.2228721814604113E-2</v>
          </cell>
          <cell r="S184" t="str">
            <v/>
          </cell>
          <cell r="T184">
            <v>6.3283998830446553E-2</v>
          </cell>
          <cell r="U184">
            <v>0.11447534485411792</v>
          </cell>
          <cell r="V184">
            <v>0.21540000250751379</v>
          </cell>
          <cell r="W184" t="str">
            <v/>
          </cell>
          <cell r="X184" t="str">
            <v/>
          </cell>
          <cell r="Y184">
            <v>3.1128694655947475E-3</v>
          </cell>
          <cell r="Z184" t="str">
            <v/>
          </cell>
          <cell r="AA184">
            <v>2.3325053174066968E-2</v>
          </cell>
          <cell r="AB184" t="str">
            <v/>
          </cell>
          <cell r="AC184">
            <v>6.6354937288158555E-2</v>
          </cell>
          <cell r="AD184">
            <v>0.11995649737550118</v>
          </cell>
          <cell r="AE184">
            <v>0.22530078910064089</v>
          </cell>
        </row>
        <row r="185">
          <cell r="D185" t="str">
            <v>USD</v>
          </cell>
          <cell r="N185" t="str">
            <v/>
          </cell>
          <cell r="O185">
            <v>5.0956409427971305E-4</v>
          </cell>
          <cell r="P185">
            <v>1.2217681881586673E-3</v>
          </cell>
          <cell r="Q185">
            <v>3.8612116642110506E-3</v>
          </cell>
          <cell r="R185">
            <v>7.9638237288336411E-3</v>
          </cell>
          <cell r="S185" t="str">
            <v/>
          </cell>
          <cell r="T185">
            <v>2.0556849465119487E-2</v>
          </cell>
          <cell r="U185">
            <v>3.2012154635213674E-2</v>
          </cell>
          <cell r="V185">
            <v>5.3185442104132674E-2</v>
          </cell>
          <cell r="W185" t="str">
            <v/>
          </cell>
          <cell r="X185">
            <v>5.9285149358401235E-4</v>
          </cell>
          <cell r="Y185">
            <v>1.3882173556362121E-3</v>
          </cell>
          <cell r="Z185">
            <v>4.1932025920988769E-3</v>
          </cell>
          <cell r="AA185">
            <v>8.4597178331005107E-3</v>
          </cell>
          <cell r="AB185" t="str">
            <v/>
          </cell>
          <cell r="AC185">
            <v>2.1553977208563335E-2</v>
          </cell>
          <cell r="AD185">
            <v>3.356917145257432E-2</v>
          </cell>
          <cell r="AE185">
            <v>5.5757432847580501E-2</v>
          </cell>
        </row>
        <row r="186">
          <cell r="D186" t="str">
            <v>USD</v>
          </cell>
          <cell r="N186" t="str">
            <v/>
          </cell>
          <cell r="O186" t="str">
            <v/>
          </cell>
          <cell r="P186">
            <v>6.1445532387988111E-3</v>
          </cell>
          <cell r="Q186" t="str">
            <v/>
          </cell>
          <cell r="R186">
            <v>3.2630202903910277E-2</v>
          </cell>
          <cell r="S186" t="str">
            <v/>
          </cell>
          <cell r="T186">
            <v>8.9795919230626686E-2</v>
          </cell>
          <cell r="U186">
            <v>0.14298434146429828</v>
          </cell>
          <cell r="V186">
            <v>0.2319081995259874</v>
          </cell>
          <cell r="W186" t="str">
            <v/>
          </cell>
          <cell r="X186" t="str">
            <v/>
          </cell>
          <cell r="Y186">
            <v>6.4375317609799421E-3</v>
          </cell>
          <cell r="Z186" t="str">
            <v/>
          </cell>
          <cell r="AA186">
            <v>3.4232359643475374E-2</v>
          </cell>
          <cell r="AB186" t="str">
            <v/>
          </cell>
          <cell r="AC186">
            <v>9.4134350670694533E-2</v>
          </cell>
          <cell r="AD186">
            <v>0.14971317277380458</v>
          </cell>
          <cell r="AE186">
            <v>0.24233832014917522</v>
          </cell>
        </row>
        <row r="187">
          <cell r="D187" t="str">
            <v>USD</v>
          </cell>
          <cell r="N187" t="str">
            <v/>
          </cell>
          <cell r="O187" t="str">
            <v/>
          </cell>
          <cell r="P187">
            <v>1.8413992993355777E-3</v>
          </cell>
          <cell r="Q187" t="str">
            <v/>
          </cell>
          <cell r="R187">
            <v>1.0026947904386851E-2</v>
          </cell>
          <cell r="S187" t="str">
            <v/>
          </cell>
          <cell r="T187">
            <v>2.2361908116912299E-2</v>
          </cell>
          <cell r="U187">
            <v>3.3007732771448972E-2</v>
          </cell>
          <cell r="V187">
            <v>5.4463589051522709E-2</v>
          </cell>
          <cell r="W187" t="str">
            <v/>
          </cell>
          <cell r="X187" t="str">
            <v/>
          </cell>
          <cell r="Y187">
            <v>2.0077452035682786E-3</v>
          </cell>
          <cell r="Z187" t="str">
            <v/>
          </cell>
          <cell r="AA187">
            <v>1.0521810704441359E-2</v>
          </cell>
          <cell r="AB187" t="str">
            <v/>
          </cell>
          <cell r="AC187">
            <v>2.3462409270894824E-2</v>
          </cell>
          <cell r="AD187">
            <v>3.462694837725544E-2</v>
          </cell>
          <cell r="AE187">
            <v>5.7109111488965247E-2</v>
          </cell>
        </row>
        <row r="188">
          <cell r="D188" t="str">
            <v>USD</v>
          </cell>
          <cell r="N188" t="str">
            <v/>
          </cell>
          <cell r="O188" t="str">
            <v/>
          </cell>
          <cell r="P188">
            <v>2.0987179082332386E-3</v>
          </cell>
          <cell r="Q188" t="str">
            <v/>
          </cell>
          <cell r="R188">
            <v>1.5591474265663985E-2</v>
          </cell>
          <cell r="S188" t="str">
            <v/>
          </cell>
          <cell r="T188">
            <v>4.1544201790343571E-2</v>
          </cell>
          <cell r="U188">
            <v>6.9854138929514864E-2</v>
          </cell>
          <cell r="V188">
            <v>0.11585365084993848</v>
          </cell>
          <cell r="W188" t="str">
            <v/>
          </cell>
          <cell r="X188" t="str">
            <v/>
          </cell>
          <cell r="Y188">
            <v>2.2650209296275481E-3</v>
          </cell>
          <cell r="Z188" t="str">
            <v/>
          </cell>
          <cell r="AA188">
            <v>1.6359727588895701E-2</v>
          </cell>
          <cell r="AB188" t="str">
            <v/>
          </cell>
          <cell r="AC188">
            <v>4.3577289316249934E-2</v>
          </cell>
          <cell r="AD188">
            <v>7.323792239676763E-2</v>
          </cell>
          <cell r="AE188">
            <v>0.12136688332567813</v>
          </cell>
        </row>
        <row r="189">
          <cell r="D189" t="str">
            <v>USD</v>
          </cell>
          <cell r="N189" t="str">
            <v/>
          </cell>
          <cell r="O189" t="str">
            <v/>
          </cell>
          <cell r="P189">
            <v>4.6041294298003743E-3</v>
          </cell>
          <cell r="Q189" t="str">
            <v/>
          </cell>
          <cell r="R189">
            <v>2.4768128967365577E-2</v>
          </cell>
          <cell r="S189" t="str">
            <v/>
          </cell>
          <cell r="T189">
            <v>6.1968538733281009E-2</v>
          </cell>
          <cell r="U189">
            <v>9.9058703301854734E-2</v>
          </cell>
          <cell r="V189">
            <v>0.15680343714665734</v>
          </cell>
          <cell r="W189" t="str">
            <v/>
          </cell>
          <cell r="X189" t="str">
            <v/>
          </cell>
          <cell r="Y189">
            <v>4.8238388169017377E-3</v>
          </cell>
          <cell r="Z189" t="str">
            <v/>
          </cell>
          <cell r="AA189">
            <v>2.599002169512088E-2</v>
          </cell>
          <cell r="AB189" t="str">
            <v/>
          </cell>
          <cell r="AC189">
            <v>6.4976843306802756E-2</v>
          </cell>
          <cell r="AD189">
            <v>0.10379313033160598</v>
          </cell>
          <cell r="AE189">
            <v>0.16410886549086157</v>
          </cell>
        </row>
        <row r="190">
          <cell r="D190" t="str">
            <v>USD</v>
          </cell>
          <cell r="N190" t="str">
            <v/>
          </cell>
          <cell r="O190" t="str">
            <v/>
          </cell>
          <cell r="P190">
            <v>2.5245398971295296E-3</v>
          </cell>
          <cell r="Q190" t="str">
            <v/>
          </cell>
          <cell r="R190">
            <v>2.2544975018212177E-2</v>
          </cell>
          <cell r="S190" t="str">
            <v/>
          </cell>
          <cell r="T190">
            <v>5.8188998391559776E-2</v>
          </cell>
          <cell r="U190">
            <v>9.6747976642017841E-2</v>
          </cell>
          <cell r="V190">
            <v>0.16659820578902029</v>
          </cell>
          <cell r="W190" t="str">
            <v/>
          </cell>
          <cell r="X190" t="str">
            <v/>
          </cell>
          <cell r="Y190">
            <v>2.6907719540882891E-3</v>
          </cell>
          <cell r="Z190" t="str">
            <v/>
          </cell>
          <cell r="AA190">
            <v>2.3655143832326475E-2</v>
          </cell>
          <cell r="AB190" t="str">
            <v/>
          </cell>
          <cell r="AC190">
            <v>6.1017254185844139E-2</v>
          </cell>
          <cell r="AD190">
            <v>0.10137928456480449</v>
          </cell>
          <cell r="AE190">
            <v>0.17436511399508314</v>
          </cell>
        </row>
        <row r="191">
          <cell r="D191" t="str">
            <v>USD</v>
          </cell>
          <cell r="N191" t="str">
            <v/>
          </cell>
          <cell r="O191" t="str">
            <v/>
          </cell>
          <cell r="P191">
            <v>2.9380229682006709E-3</v>
          </cell>
          <cell r="Q191" t="str">
            <v/>
          </cell>
          <cell r="R191">
            <v>1.3565654644807745E-2</v>
          </cell>
          <cell r="S191" t="str">
            <v/>
          </cell>
          <cell r="T191">
            <v>2.7932331581100311E-2</v>
          </cell>
          <cell r="U191">
            <v>3.9203023097560741E-2</v>
          </cell>
          <cell r="V191">
            <v>5.8045290714519027E-2</v>
          </cell>
          <cell r="W191" t="str">
            <v/>
          </cell>
          <cell r="X191" t="str">
            <v/>
          </cell>
          <cell r="Y191">
            <v>3.1041861170625351E-3</v>
          </cell>
          <cell r="Z191" t="str">
            <v/>
          </cell>
          <cell r="AA191">
            <v>1.4219936750851203E-2</v>
          </cell>
          <cell r="AB191" t="str">
            <v/>
          </cell>
          <cell r="AC191">
            <v>2.9310243413954495E-2</v>
          </cell>
          <cell r="AD191">
            <v>4.1125747557282155E-2</v>
          </cell>
          <cell r="AE191">
            <v>6.0860299056013312E-2</v>
          </cell>
        </row>
        <row r="192">
          <cell r="D192" t="str">
            <v>USD</v>
          </cell>
          <cell r="N192" t="str">
            <v/>
          </cell>
          <cell r="O192" t="str">
            <v/>
          </cell>
          <cell r="P192">
            <v>8.9849462655067214E-4</v>
          </cell>
          <cell r="Q192" t="str">
            <v/>
          </cell>
          <cell r="R192">
            <v>9.8167724865746431E-3</v>
          </cell>
          <cell r="S192" t="str">
            <v/>
          </cell>
          <cell r="T192">
            <v>2.3755343872902679E-2</v>
          </cell>
          <cell r="U192">
            <v>4.3252337741155999E-2</v>
          </cell>
          <cell r="V192">
            <v>8.0854161357199916E-2</v>
          </cell>
          <cell r="W192" t="str">
            <v/>
          </cell>
          <cell r="X192" t="str">
            <v/>
          </cell>
          <cell r="Y192">
            <v>1.0649976684740103E-3</v>
          </cell>
          <cell r="Z192" t="str">
            <v/>
          </cell>
          <cell r="AA192">
            <v>1.0311740348047715E-2</v>
          </cell>
          <cell r="AB192" t="str">
            <v/>
          </cell>
          <cell r="AC192">
            <v>2.4919537047213391E-2</v>
          </cell>
          <cell r="AD192">
            <v>4.5365014651413738E-2</v>
          </cell>
          <cell r="AE192">
            <v>8.4740798152348473E-2</v>
          </cell>
        </row>
        <row r="193">
          <cell r="D193" t="str">
            <v>USD</v>
          </cell>
          <cell r="N193" t="str">
            <v/>
          </cell>
          <cell r="O193" t="str">
            <v/>
          </cell>
          <cell r="P193">
            <v>8.340943702173087E-4</v>
          </cell>
          <cell r="Q193" t="str">
            <v/>
          </cell>
          <cell r="R193">
            <v>6.9733517073625739E-3</v>
          </cell>
          <cell r="S193" t="str">
            <v/>
          </cell>
          <cell r="T193">
            <v>1.7996581348687424E-2</v>
          </cell>
          <cell r="U193">
            <v>3.5652271200990904E-2</v>
          </cell>
          <cell r="V193">
            <v>7.0625675922175501E-2</v>
          </cell>
          <cell r="W193" t="str">
            <v/>
          </cell>
          <cell r="X193" t="str">
            <v/>
          </cell>
          <cell r="Y193">
            <v>1.0006081446377602E-3</v>
          </cell>
          <cell r="Z193" t="str">
            <v/>
          </cell>
          <cell r="AA193">
            <v>7.4697409238421164E-3</v>
          </cell>
          <cell r="AB193" t="str">
            <v/>
          </cell>
          <cell r="AC193">
            <v>1.8845238217586768E-2</v>
          </cell>
          <cell r="AD193">
            <v>3.7385047161339613E-2</v>
          </cell>
          <cell r="AE193">
            <v>7.4025351165623809E-2</v>
          </cell>
        </row>
        <row r="194">
          <cell r="D194" t="str">
            <v>USD</v>
          </cell>
          <cell r="N194" t="str">
            <v/>
          </cell>
          <cell r="O194" t="str">
            <v/>
          </cell>
          <cell r="P194">
            <v>8.340943702173087E-4</v>
          </cell>
          <cell r="Q194" t="str">
            <v/>
          </cell>
          <cell r="R194">
            <v>7.3990893366129296E-3</v>
          </cell>
          <cell r="S194" t="str">
            <v/>
          </cell>
          <cell r="T194">
            <v>1.7951555138388309E-2</v>
          </cell>
          <cell r="U194">
            <v>3.3902683729384875E-2</v>
          </cell>
          <cell r="V194">
            <v>6.2946548088095855E-2</v>
          </cell>
          <cell r="W194" t="str">
            <v/>
          </cell>
          <cell r="X194" t="str">
            <v/>
          </cell>
          <cell r="Y194">
            <v>1.0006081446377602E-3</v>
          </cell>
          <cell r="Z194" t="str">
            <v/>
          </cell>
          <cell r="AA194">
            <v>7.895265737484447E-3</v>
          </cell>
          <cell r="AB194" t="str">
            <v/>
          </cell>
          <cell r="AC194">
            <v>1.8800250919372985E-2</v>
          </cell>
          <cell r="AD194">
            <v>3.5552240154605008E-2</v>
          </cell>
          <cell r="AE194">
            <v>6.5985118733183246E-2</v>
          </cell>
        </row>
        <row r="195">
          <cell r="D195" t="str">
            <v>USD</v>
          </cell>
          <cell r="N195" t="str">
            <v/>
          </cell>
          <cell r="O195" t="str">
            <v/>
          </cell>
          <cell r="P195">
            <v>1.4883484493611876E-3</v>
          </cell>
          <cell r="Q195" t="str">
            <v/>
          </cell>
          <cell r="R195">
            <v>9.4726983287772848E-3</v>
          </cell>
          <cell r="S195" t="str">
            <v/>
          </cell>
          <cell r="T195">
            <v>2.5044392759242529E-2</v>
          </cell>
          <cell r="U195">
            <v>3.7929307850952387E-2</v>
          </cell>
          <cell r="V195">
            <v>6.5588745100657264E-2</v>
          </cell>
          <cell r="W195" t="str">
            <v/>
          </cell>
          <cell r="X195" t="str">
            <v/>
          </cell>
          <cell r="Y195">
            <v>1.6547531905035662E-3</v>
          </cell>
          <cell r="Z195" t="str">
            <v/>
          </cell>
          <cell r="AA195">
            <v>9.9678381843559816E-3</v>
          </cell>
          <cell r="AB195" t="str">
            <v/>
          </cell>
          <cell r="AC195">
            <v>2.6272120715070013E-2</v>
          </cell>
          <cell r="AD195">
            <v>3.9783686046639066E-2</v>
          </cell>
          <cell r="AE195">
            <v>6.8757222728744627E-2</v>
          </cell>
        </row>
        <row r="196">
          <cell r="D196" t="str">
            <v>USD</v>
          </cell>
          <cell r="N196" t="str">
            <v/>
          </cell>
          <cell r="O196" t="str">
            <v/>
          </cell>
          <cell r="P196">
            <v>7.2268960342369848E-4</v>
          </cell>
          <cell r="Q196" t="str">
            <v/>
          </cell>
          <cell r="R196">
            <v>8.2324089538440282E-3</v>
          </cell>
          <cell r="S196" t="str">
            <v/>
          </cell>
          <cell r="T196">
            <v>1.7872485011310113E-2</v>
          </cell>
          <cell r="U196">
            <v>3.3611263053472507E-2</v>
          </cell>
          <cell r="V196">
            <v>6.2206564631552386E-2</v>
          </cell>
          <cell r="W196" t="str">
            <v/>
          </cell>
          <cell r="X196" t="str">
            <v/>
          </cell>
          <cell r="Y196">
            <v>8.892219437496296E-4</v>
          </cell>
          <cell r="Z196" t="str">
            <v/>
          </cell>
          <cell r="AA196">
            <v>8.7281687990516943E-3</v>
          </cell>
          <cell r="AB196" t="str">
            <v/>
          </cell>
          <cell r="AC196">
            <v>1.8721249125450368E-2</v>
          </cell>
          <cell r="AD196">
            <v>3.5250212279623994E-2</v>
          </cell>
          <cell r="AE196">
            <v>6.5213516014638317E-2</v>
          </cell>
        </row>
        <row r="197">
          <cell r="D197" t="str">
            <v>USD</v>
          </cell>
          <cell r="N197" t="str">
            <v/>
          </cell>
          <cell r="O197" t="str">
            <v/>
          </cell>
          <cell r="P197">
            <v>3.8304276381747604E-3</v>
          </cell>
          <cell r="Q197" t="str">
            <v/>
          </cell>
          <cell r="R197">
            <v>1.9532259378244765E-2</v>
          </cell>
          <cell r="S197" t="str">
            <v/>
          </cell>
          <cell r="T197">
            <v>4.478546192376931E-2</v>
          </cell>
          <cell r="U197">
            <v>7.2011185239735598E-2</v>
          </cell>
          <cell r="V197">
            <v>0.12194746415245261</v>
          </cell>
          <cell r="W197" t="str">
            <v/>
          </cell>
          <cell r="X197" t="str">
            <v/>
          </cell>
          <cell r="Y197">
            <v>4.0132909829764252E-3</v>
          </cell>
          <cell r="Z197" t="str">
            <v/>
          </cell>
          <cell r="AA197">
            <v>2.0498794774103102E-2</v>
          </cell>
          <cell r="AB197" t="str">
            <v/>
          </cell>
          <cell r="AC197">
            <v>4.6977459046123715E-2</v>
          </cell>
          <cell r="AD197">
            <v>7.5495279349106603E-2</v>
          </cell>
          <cell r="AE197">
            <v>0.12773503908834538</v>
          </cell>
        </row>
        <row r="198">
          <cell r="D198" t="str">
            <v>USD</v>
          </cell>
          <cell r="N198" t="str">
            <v/>
          </cell>
          <cell r="O198" t="str">
            <v/>
          </cell>
          <cell r="P198">
            <v>8.5324082278470659E-4</v>
          </cell>
          <cell r="Q198" t="str">
            <v/>
          </cell>
          <cell r="R198">
            <v>7.9738139552305576E-3</v>
          </cell>
          <cell r="S198" t="str">
            <v/>
          </cell>
          <cell r="T198">
            <v>1.8321228060347972E-2</v>
          </cell>
          <cell r="U198">
            <v>3.4224942018445614E-2</v>
          </cell>
          <cell r="V198">
            <v>6.493782292883965E-2</v>
          </cell>
          <cell r="W198" t="str">
            <v/>
          </cell>
          <cell r="X198" t="str">
            <v/>
          </cell>
          <cell r="Y198">
            <v>1.0197514063650104E-3</v>
          </cell>
          <cell r="Z198" t="str">
            <v/>
          </cell>
          <cell r="AA198">
            <v>8.4697030656818439E-3</v>
          </cell>
          <cell r="AB198" t="str">
            <v/>
          </cell>
          <cell r="AC198">
            <v>1.918922077817542E-2</v>
          </cell>
          <cell r="AD198">
            <v>3.5893213266249169E-2</v>
          </cell>
          <cell r="AE198">
            <v>6.8073432245266408E-2</v>
          </cell>
        </row>
        <row r="199">
          <cell r="D199" t="str">
            <v>USD</v>
          </cell>
          <cell r="N199" t="str">
            <v/>
          </cell>
          <cell r="O199" t="str">
            <v/>
          </cell>
          <cell r="P199">
            <v>1.4187671667675872E-3</v>
          </cell>
          <cell r="Q199" t="str">
            <v/>
          </cell>
          <cell r="R199">
            <v>8.0778524452811418E-3</v>
          </cell>
          <cell r="S199" t="str">
            <v/>
          </cell>
          <cell r="T199">
            <v>1.6959081369407603E-2</v>
          </cell>
          <cell r="U199">
            <v>3.1518117943552415E-2</v>
          </cell>
          <cell r="V199">
            <v>5.8149407383109919E-2</v>
          </cell>
          <cell r="W199" t="str">
            <v/>
          </cell>
          <cell r="X199" t="str">
            <v/>
          </cell>
          <cell r="Y199">
            <v>1.5851835038134254E-3</v>
          </cell>
          <cell r="Z199" t="str">
            <v/>
          </cell>
          <cell r="AA199">
            <v>8.5736895494186172E-3</v>
          </cell>
          <cell r="AB199" t="str">
            <v/>
          </cell>
          <cell r="AC199">
            <v>1.7777940896092082E-2</v>
          </cell>
          <cell r="AD199">
            <v>3.3055345691418658E-2</v>
          </cell>
          <cell r="AE199">
            <v>6.0964129211192208E-2</v>
          </cell>
        </row>
        <row r="200">
          <cell r="D200" t="str">
            <v>USD</v>
          </cell>
          <cell r="N200" t="str">
            <v/>
          </cell>
          <cell r="O200" t="str">
            <v/>
          </cell>
          <cell r="P200">
            <v>8.5672195685559949E-4</v>
          </cell>
          <cell r="Q200" t="str">
            <v/>
          </cell>
          <cell r="R200">
            <v>8.782877073494566E-3</v>
          </cell>
          <cell r="S200" t="str">
            <v/>
          </cell>
          <cell r="T200">
            <v>2.1274525942205358E-2</v>
          </cell>
          <cell r="U200">
            <v>3.6987664828815214E-2</v>
          </cell>
          <cell r="V200">
            <v>6.5785305770100222E-2</v>
          </cell>
          <cell r="W200" t="str">
            <v/>
          </cell>
          <cell r="X200" t="str">
            <v/>
          </cell>
          <cell r="Y200">
            <v>1.0232319603122875E-3</v>
          </cell>
          <cell r="Z200" t="str">
            <v/>
          </cell>
          <cell r="AA200">
            <v>9.2783617534522023E-3</v>
          </cell>
          <cell r="AB200" t="str">
            <v/>
          </cell>
          <cell r="AC200">
            <v>2.2311578187668601E-2</v>
          </cell>
          <cell r="AD200">
            <v>3.8791535740067773E-2</v>
          </cell>
          <cell r="AE200">
            <v>6.896053343314279E-2</v>
          </cell>
        </row>
        <row r="201">
          <cell r="D201" t="str">
            <v>USD</v>
          </cell>
          <cell r="N201" t="str">
            <v/>
          </cell>
          <cell r="O201" t="str">
            <v/>
          </cell>
          <cell r="P201">
            <v>4.6127998406324533E-3</v>
          </cell>
          <cell r="Q201" t="str">
            <v/>
          </cell>
          <cell r="R201">
            <v>3.5113713347814768E-2</v>
          </cell>
          <cell r="S201" t="str">
            <v/>
          </cell>
          <cell r="T201">
            <v>8.9624970332019993E-2</v>
          </cell>
          <cell r="U201">
            <v>0.1420535679463707</v>
          </cell>
          <cell r="V201">
            <v>0.24316563401032565</v>
          </cell>
          <cell r="W201" t="str">
            <v/>
          </cell>
          <cell r="X201" t="str">
            <v/>
          </cell>
          <cell r="Y201">
            <v>4.8329219669998036E-3</v>
          </cell>
          <cell r="Z201" t="str">
            <v/>
          </cell>
          <cell r="AA201">
            <v>3.6835565810131587E-2</v>
          </cell>
          <cell r="AB201" t="str">
            <v/>
          </cell>
          <cell r="AC201">
            <v>9.3952913910856029E-2</v>
          </cell>
          <cell r="AD201">
            <v>0.148736985458233</v>
          </cell>
          <cell r="AE201">
            <v>0.25408174670484762</v>
          </cell>
        </row>
        <row r="202">
          <cell r="D202" t="str">
            <v>USD</v>
          </cell>
          <cell r="N202" t="str">
            <v/>
          </cell>
          <cell r="O202" t="str">
            <v/>
          </cell>
          <cell r="P202">
            <v>2.9380229682006709E-3</v>
          </cell>
          <cell r="Q202" t="str">
            <v/>
          </cell>
          <cell r="R202">
            <v>1.6053273798310785E-2</v>
          </cell>
          <cell r="S202" t="str">
            <v/>
          </cell>
          <cell r="T202">
            <v>3.4974125250559429E-2</v>
          </cell>
          <cell r="U202">
            <v>5.3196387321540417E-2</v>
          </cell>
          <cell r="V202">
            <v>8.0020341222774016E-2</v>
          </cell>
          <cell r="W202" t="str">
            <v/>
          </cell>
          <cell r="X202" t="str">
            <v/>
          </cell>
          <cell r="Y202">
            <v>3.1041861170625351E-3</v>
          </cell>
          <cell r="Z202" t="str">
            <v/>
          </cell>
          <cell r="AA202">
            <v>1.6847274780237287E-2</v>
          </cell>
          <cell r="AB202" t="str">
            <v/>
          </cell>
          <cell r="AC202">
            <v>3.6692007474531274E-2</v>
          </cell>
          <cell r="AD202">
            <v>5.5788903031331549E-2</v>
          </cell>
          <cell r="AE202">
            <v>8.3859388270394519E-2</v>
          </cell>
        </row>
        <row r="203">
          <cell r="D203" t="str">
            <v>USD</v>
          </cell>
          <cell r="N203" t="str">
            <v/>
          </cell>
          <cell r="O203" t="str">
            <v/>
          </cell>
          <cell r="P203">
            <v>2.5262775766737855E-3</v>
          </cell>
          <cell r="Q203" t="str">
            <v/>
          </cell>
          <cell r="R203">
            <v>9.7277592879345676E-3</v>
          </cell>
          <cell r="S203" t="str">
            <v/>
          </cell>
          <cell r="T203">
            <v>3.3139739606582563E-2</v>
          </cell>
          <cell r="U203">
            <v>6.4400425295793151E-2</v>
          </cell>
          <cell r="V203">
            <v>0.11256912099266714</v>
          </cell>
          <cell r="W203" t="str">
            <v/>
          </cell>
          <cell r="X203" t="str">
            <v/>
          </cell>
          <cell r="Y203">
            <v>2.6925093440520742E-3</v>
          </cell>
          <cell r="Z203" t="str">
            <v/>
          </cell>
          <cell r="AA203">
            <v>1.0222771644877615E-2</v>
          </cell>
          <cell r="AB203" t="str">
            <v/>
          </cell>
          <cell r="AC203">
            <v>3.4767421769627105E-2</v>
          </cell>
          <cell r="AD203">
            <v>6.753348021179173E-2</v>
          </cell>
          <cell r="AE203">
            <v>0.11795581501845032</v>
          </cell>
        </row>
        <row r="204">
          <cell r="D204" t="str">
            <v>USD</v>
          </cell>
          <cell r="N204" t="str">
            <v/>
          </cell>
          <cell r="O204" t="str">
            <v/>
          </cell>
          <cell r="P204">
            <v>7.9216678478439384E-2</v>
          </cell>
          <cell r="Q204" t="str">
            <v/>
          </cell>
          <cell r="R204">
            <v>0.18614379248715274</v>
          </cell>
          <cell r="S204" t="str">
            <v/>
          </cell>
          <cell r="T204">
            <v>0.24268135326536222</v>
          </cell>
          <cell r="U204">
            <v>0.29057091910928423</v>
          </cell>
          <cell r="V204">
            <v>0.34430261795283379</v>
          </cell>
          <cell r="W204" t="str">
            <v/>
          </cell>
          <cell r="X204" t="str">
            <v/>
          </cell>
          <cell r="Y204">
            <v>8.3008386087430996E-2</v>
          </cell>
          <cell r="Z204" t="str">
            <v/>
          </cell>
          <cell r="AA204">
            <v>0.19442435550478543</v>
          </cell>
          <cell r="AB204" t="str">
            <v/>
          </cell>
          <cell r="AC204">
            <v>0.25285412404779406</v>
          </cell>
          <cell r="AD204">
            <v>0.30216859457387957</v>
          </cell>
          <cell r="AE204">
            <v>0.3571862726979157</v>
          </cell>
        </row>
        <row r="205">
          <cell r="D205" t="str">
            <v>USD</v>
          </cell>
          <cell r="N205" t="str">
            <v/>
          </cell>
          <cell r="O205" t="str">
            <v/>
          </cell>
          <cell r="P205">
            <v>4.8971478413708525E-3</v>
          </cell>
          <cell r="Q205" t="str">
            <v/>
          </cell>
          <cell r="R205">
            <v>2.7477650347708771E-2</v>
          </cell>
          <cell r="S205" t="str">
            <v/>
          </cell>
          <cell r="T205">
            <v>7.5268157321391804E-2</v>
          </cell>
          <cell r="U205">
            <v>0.12416160405673049</v>
          </cell>
          <cell r="V205">
            <v>0.21062336640269186</v>
          </cell>
          <cell r="W205" t="str">
            <v/>
          </cell>
          <cell r="X205" t="str">
            <v/>
          </cell>
          <cell r="Y205">
            <v>5.1308037250034078E-3</v>
          </cell>
          <cell r="Z205" t="str">
            <v/>
          </cell>
          <cell r="AA205">
            <v>2.8831060677649289E-2</v>
          </cell>
          <cell r="AB205" t="str">
            <v/>
          </cell>
          <cell r="AC205">
            <v>7.8925689099610175E-2</v>
          </cell>
          <cell r="AD205">
            <v>0.13006136874866348</v>
          </cell>
          <cell r="AE205">
            <v>0.22023613586465829</v>
          </cell>
        </row>
        <row r="206">
          <cell r="D206" t="str">
            <v>USD</v>
          </cell>
          <cell r="N206" t="str">
            <v/>
          </cell>
          <cell r="O206" t="str">
            <v/>
          </cell>
          <cell r="P206">
            <v>1.1542457216366375E-2</v>
          </cell>
          <cell r="Q206" t="str">
            <v/>
          </cell>
          <cell r="R206">
            <v>6.0158124541064728E-2</v>
          </cell>
          <cell r="S206" t="str">
            <v/>
          </cell>
          <cell r="T206">
            <v>0.14505175834300454</v>
          </cell>
          <cell r="U206">
            <v>0.21926841352248161</v>
          </cell>
          <cell r="V206">
            <v>0.33588990605960556</v>
          </cell>
          <cell r="W206" t="str">
            <v/>
          </cell>
          <cell r="X206" t="str">
            <v/>
          </cell>
          <cell r="Y206">
            <v>1.2115400479655536E-2</v>
          </cell>
          <cell r="Z206" t="str">
            <v/>
          </cell>
          <cell r="AA206">
            <v>6.3084635771112896E-2</v>
          </cell>
          <cell r="AB206" t="str">
            <v/>
          </cell>
          <cell r="AC206">
            <v>0.15187203079053824</v>
          </cell>
          <cell r="AD206">
            <v>0.22915627358962887</v>
          </cell>
          <cell r="AE206">
            <v>0.3500076483260709</v>
          </cell>
        </row>
        <row r="207">
          <cell r="D207" t="str">
            <v>USD</v>
          </cell>
          <cell r="N207" t="str">
            <v/>
          </cell>
          <cell r="O207" t="str">
            <v/>
          </cell>
          <cell r="P207">
            <v>8.2016944864349295E-4</v>
          </cell>
          <cell r="Q207" t="str">
            <v/>
          </cell>
          <cell r="R207">
            <v>9.7292486480800022E-3</v>
          </cell>
          <cell r="S207" t="str">
            <v/>
          </cell>
          <cell r="T207">
            <v>2.2038519214811703E-2</v>
          </cell>
          <cell r="U207">
            <v>4.1843742709897214E-2</v>
          </cell>
          <cell r="V207">
            <v>7.7238674675388252E-2</v>
          </cell>
          <cell r="W207" t="str">
            <v/>
          </cell>
          <cell r="X207" t="str">
            <v/>
          </cell>
          <cell r="Y207">
            <v>9.8668554366354577E-4</v>
          </cell>
          <cell r="Z207" t="str">
            <v/>
          </cell>
          <cell r="AA207">
            <v>1.0224260260576878E-2</v>
          </cell>
          <cell r="AB207" t="str">
            <v/>
          </cell>
          <cell r="AC207">
            <v>2.3117796914109756E-2</v>
          </cell>
          <cell r="AD207">
            <v>4.3887788756298063E-2</v>
          </cell>
          <cell r="AE207">
            <v>8.0957083031642951E-2</v>
          </cell>
        </row>
        <row r="208">
          <cell r="D208" t="str">
            <v>USD</v>
          </cell>
          <cell r="N208" t="str">
            <v/>
          </cell>
          <cell r="O208" t="str">
            <v/>
          </cell>
          <cell r="P208">
            <v>1.9526802887469552E-3</v>
          </cell>
          <cell r="Q208" t="str">
            <v/>
          </cell>
          <cell r="R208">
            <v>9.9254890985825961E-3</v>
          </cell>
          <cell r="S208" t="str">
            <v/>
          </cell>
          <cell r="T208">
            <v>2.5826099865312924E-2</v>
          </cell>
          <cell r="U208">
            <v>4.8261935739770112E-2</v>
          </cell>
          <cell r="V208">
            <v>8.9433331013118122E-2</v>
          </cell>
          <cell r="W208" t="str">
            <v/>
          </cell>
          <cell r="X208" t="str">
            <v/>
          </cell>
          <cell r="Y208">
            <v>2.1190076477021202E-3</v>
          </cell>
          <cell r="Z208" t="str">
            <v/>
          </cell>
          <cell r="AA208">
            <v>1.0420402615326063E-2</v>
          </cell>
          <cell r="AB208" t="str">
            <v/>
          </cell>
          <cell r="AC208">
            <v>2.7096163867710965E-2</v>
          </cell>
          <cell r="AD208">
            <v>5.0620836627854993E-2</v>
          </cell>
          <cell r="AE208">
            <v>9.3751005902081297E-2</v>
          </cell>
        </row>
        <row r="209">
          <cell r="D209" t="str">
            <v>USD</v>
          </cell>
          <cell r="N209" t="str">
            <v/>
          </cell>
          <cell r="O209" t="str">
            <v/>
          </cell>
          <cell r="P209">
            <v>6.6010447658070182E-2</v>
          </cell>
          <cell r="Q209" t="str">
            <v/>
          </cell>
          <cell r="R209">
            <v>0.18189105398654948</v>
          </cell>
          <cell r="S209" t="str">
            <v/>
          </cell>
          <cell r="T209">
            <v>0.24714076951760733</v>
          </cell>
          <cell r="U209">
            <v>0.30352540610325784</v>
          </cell>
          <cell r="V209">
            <v>0.37821115991793797</v>
          </cell>
          <cell r="W209" t="str">
            <v/>
          </cell>
          <cell r="X209" t="str">
            <v/>
          </cell>
          <cell r="Y209">
            <v>6.919404437411425E-2</v>
          </cell>
          <cell r="Z209" t="str">
            <v/>
          </cell>
          <cell r="AA209">
            <v>0.19006354345283472</v>
          </cell>
          <cell r="AB209" t="str">
            <v/>
          </cell>
          <cell r="AC209">
            <v>0.25756908517846511</v>
          </cell>
          <cell r="AD209">
            <v>0.31565948227771223</v>
          </cell>
          <cell r="AE209">
            <v>0.39223250032281065</v>
          </cell>
        </row>
        <row r="210">
          <cell r="D210" t="str">
            <v>USD</v>
          </cell>
          <cell r="N210" t="str">
            <v/>
          </cell>
          <cell r="O210" t="str">
            <v/>
          </cell>
          <cell r="P210">
            <v>7.4198079234544245E-3</v>
          </cell>
          <cell r="Q210" t="str">
            <v/>
          </cell>
          <cell r="R210">
            <v>3.8405566314867801E-2</v>
          </cell>
          <cell r="S210" t="str">
            <v/>
          </cell>
          <cell r="T210">
            <v>0.10010882655450914</v>
          </cell>
          <cell r="U210">
            <v>0.16189569716225471</v>
          </cell>
          <cell r="V210">
            <v>0.27037798100372168</v>
          </cell>
          <cell r="W210" t="str">
            <v/>
          </cell>
          <cell r="X210" t="str">
            <v/>
          </cell>
          <cell r="Y210">
            <v>7.7733516381675027E-3</v>
          </cell>
          <cell r="Z210" t="str">
            <v/>
          </cell>
          <cell r="AA210">
            <v>4.0284551227686149E-2</v>
          </cell>
          <cell r="AB210" t="str">
            <v/>
          </cell>
          <cell r="AC210">
            <v>0.10492061327354651</v>
          </cell>
          <cell r="AD210">
            <v>0.16944912286219949</v>
          </cell>
          <cell r="AE210">
            <v>0.28233422962996135</v>
          </cell>
        </row>
        <row r="211">
          <cell r="D211" t="str">
            <v>USD</v>
          </cell>
          <cell r="N211" t="str">
            <v/>
          </cell>
          <cell r="O211" t="str">
            <v/>
          </cell>
          <cell r="P211">
            <v>6.2951765008028016E-3</v>
          </cell>
          <cell r="Q211" t="str">
            <v/>
          </cell>
          <cell r="R211">
            <v>3.9721716796188522E-2</v>
          </cell>
          <cell r="S211" t="str">
            <v/>
          </cell>
          <cell r="T211">
            <v>0.10129362832254085</v>
          </cell>
          <cell r="U211">
            <v>0.15639605346099172</v>
          </cell>
          <cell r="V211">
            <v>0.25140151031880942</v>
          </cell>
          <cell r="W211" t="str">
            <v/>
          </cell>
          <cell r="X211" t="str">
            <v/>
          </cell>
          <cell r="Y211">
            <v>6.5953128308493536E-3</v>
          </cell>
          <cell r="Z211" t="str">
            <v/>
          </cell>
          <cell r="AA211">
            <v>4.1663809481011449E-2</v>
          </cell>
          <cell r="AB211" t="str">
            <v/>
          </cell>
          <cell r="AC211">
            <v>0.10616018997800514</v>
          </cell>
          <cell r="AD211">
            <v>0.16369490044881496</v>
          </cell>
          <cell r="AE211">
            <v>0.26256813033120818</v>
          </cell>
        </row>
        <row r="212">
          <cell r="D212" t="str">
            <v>USD</v>
          </cell>
          <cell r="N212" t="str">
            <v/>
          </cell>
          <cell r="O212" t="str">
            <v/>
          </cell>
          <cell r="P212">
            <v>1.1769347925223439E-3</v>
          </cell>
          <cell r="Q212" t="str">
            <v/>
          </cell>
          <cell r="R212">
            <v>5.9462016420491759E-3</v>
          </cell>
          <cell r="S212" t="str">
            <v/>
          </cell>
          <cell r="T212">
            <v>1.6770938002698355E-2</v>
          </cell>
          <cell r="U212">
            <v>3.014855662638205E-2</v>
          </cell>
          <cell r="V212">
            <v>6.4135689821288921E-2</v>
          </cell>
          <cell r="W212" t="str">
            <v/>
          </cell>
          <cell r="X212" t="str">
            <v/>
          </cell>
          <cell r="Y212">
            <v>1.3433914316186568E-3</v>
          </cell>
          <cell r="Z212" t="str">
            <v/>
          </cell>
          <cell r="AA212">
            <v>6.4431043052430859E-3</v>
          </cell>
          <cell r="AB212" t="str">
            <v/>
          </cell>
          <cell r="AC212">
            <v>1.758995425021681E-2</v>
          </cell>
          <cell r="AD212">
            <v>3.1605241478776969E-2</v>
          </cell>
          <cell r="AE212">
            <v>6.7220949837572319E-2</v>
          </cell>
        </row>
        <row r="213">
          <cell r="D213" t="str">
            <v>USD</v>
          </cell>
          <cell r="N213" t="str">
            <v/>
          </cell>
          <cell r="O213" t="str">
            <v/>
          </cell>
          <cell r="P213">
            <v>9.002351168498901E-4</v>
          </cell>
          <cell r="Q213" t="str">
            <v/>
          </cell>
          <cell r="R213">
            <v>5.5711718706833446E-3</v>
          </cell>
          <cell r="S213" t="str">
            <v/>
          </cell>
          <cell r="T213">
            <v>1.6400169643322138E-2</v>
          </cell>
          <cell r="U213">
            <v>2.6646204735497947E-2</v>
          </cell>
          <cell r="V213">
            <v>4.8654774164822223E-2</v>
          </cell>
          <cell r="W213" t="str">
            <v/>
          </cell>
          <cell r="X213" t="str">
            <v/>
          </cell>
          <cell r="Y213">
            <v>1.0667378687243545E-3</v>
          </cell>
          <cell r="Z213" t="str">
            <v/>
          </cell>
          <cell r="AA213">
            <v>6.0682620018508437E-3</v>
          </cell>
          <cell r="AB213" t="str">
            <v/>
          </cell>
          <cell r="AC213">
            <v>1.72194947357307E-2</v>
          </cell>
          <cell r="AD213">
            <v>2.7926201465065414E-2</v>
          </cell>
          <cell r="AE213">
            <v>5.0996976738384547E-2</v>
          </cell>
        </row>
        <row r="214">
          <cell r="D214" t="str">
            <v>USD</v>
          </cell>
          <cell r="N214" t="str">
            <v/>
          </cell>
          <cell r="O214" t="str">
            <v/>
          </cell>
          <cell r="P214">
            <v>9.9595744750413662E-4</v>
          </cell>
          <cell r="Q214" t="str">
            <v/>
          </cell>
          <cell r="R214">
            <v>1.1953810278833799E-2</v>
          </cell>
          <cell r="S214" t="str">
            <v/>
          </cell>
          <cell r="T214">
            <v>3.5604514507080687E-2</v>
          </cell>
          <cell r="U214">
            <v>7.0454044358481016E-2</v>
          </cell>
          <cell r="V214">
            <v>0.12003572900629111</v>
          </cell>
          <cell r="W214" t="str">
            <v/>
          </cell>
          <cell r="X214" t="str">
            <v/>
          </cell>
          <cell r="Y214">
            <v>1.1624442469587715E-3</v>
          </cell>
          <cell r="Z214" t="str">
            <v/>
          </cell>
          <cell r="AA214">
            <v>1.2525229700609208E-2</v>
          </cell>
          <cell r="AB214" t="str">
            <v/>
          </cell>
          <cell r="AC214">
            <v>3.7349360390748432E-2</v>
          </cell>
          <cell r="AD214">
            <v>7.3870534408793098E-2</v>
          </cell>
          <cell r="AE214">
            <v>0.12575660753167006</v>
          </cell>
        </row>
        <row r="215">
          <cell r="D215" t="str">
            <v>USD</v>
          </cell>
          <cell r="N215" t="str">
            <v/>
          </cell>
          <cell r="O215" t="str">
            <v/>
          </cell>
          <cell r="P215">
            <v>2.3629225740556814E-3</v>
          </cell>
          <cell r="Q215" t="str">
            <v/>
          </cell>
          <cell r="R215">
            <v>1.3056248460229902E-2</v>
          </cell>
          <cell r="S215" t="str">
            <v/>
          </cell>
          <cell r="T215">
            <v>3.9666748617545045E-2</v>
          </cell>
          <cell r="U215">
            <v>6.9552775497292108E-2</v>
          </cell>
          <cell r="V215">
            <v>0.14008522197849627</v>
          </cell>
          <cell r="W215" t="str">
            <v/>
          </cell>
          <cell r="X215" t="str">
            <v/>
          </cell>
          <cell r="Y215">
            <v>2.5291815649819416E-3</v>
          </cell>
          <cell r="Z215" t="str">
            <v/>
          </cell>
          <cell r="AA215">
            <v>1.368448485806395E-2</v>
          </cell>
          <cell r="AB215" t="str">
            <v/>
          </cell>
          <cell r="AC215">
            <v>4.1612722766677601E-2</v>
          </cell>
          <cell r="AD215">
            <v>7.2928614727450825E-2</v>
          </cell>
          <cell r="AE215">
            <v>0.14673954619499585</v>
          </cell>
        </row>
        <row r="216">
          <cell r="D216" t="str">
            <v>USD</v>
          </cell>
          <cell r="N216" t="str">
            <v/>
          </cell>
          <cell r="O216" t="str">
            <v/>
          </cell>
          <cell r="P216">
            <v>5.0883575161808636E-2</v>
          </cell>
          <cell r="Q216" t="str">
            <v/>
          </cell>
          <cell r="R216">
            <v>0.13188193306411056</v>
          </cell>
          <cell r="S216" t="str">
            <v/>
          </cell>
          <cell r="T216">
            <v>0.18792113399108057</v>
          </cell>
          <cell r="U216">
            <v>0.21276344173383088</v>
          </cell>
          <cell r="V216">
            <v>0.24329257741924193</v>
          </cell>
          <cell r="W216" t="str">
            <v/>
          </cell>
          <cell r="X216" t="str">
            <v/>
          </cell>
          <cell r="Y216">
            <v>5.3358619801526119E-2</v>
          </cell>
          <cell r="Z216" t="str">
            <v/>
          </cell>
          <cell r="AA216">
            <v>0.13798559803444566</v>
          </cell>
          <cell r="AB216" t="str">
            <v/>
          </cell>
          <cell r="AC216">
            <v>0.19624026553487228</v>
          </cell>
          <cell r="AD216">
            <v>0.22183572726436407</v>
          </cell>
          <cell r="AE216">
            <v>0.25325995370945387</v>
          </cell>
        </row>
        <row r="217">
          <cell r="D217" t="str">
            <v>USD</v>
          </cell>
          <cell r="N217" t="str">
            <v/>
          </cell>
          <cell r="O217" t="str">
            <v/>
          </cell>
          <cell r="P217">
            <v>2.0483025549112854E-3</v>
          </cell>
          <cell r="Q217" t="str">
            <v/>
          </cell>
          <cell r="R217">
            <v>1.0141132236745065E-2</v>
          </cell>
          <cell r="S217" t="str">
            <v/>
          </cell>
          <cell r="T217">
            <v>2.1030803418900068E-2</v>
          </cell>
          <cell r="U217">
            <v>3.8954375271899822E-2</v>
          </cell>
          <cell r="V217">
            <v>7.0192202830046346E-2</v>
          </cell>
          <cell r="W217" t="str">
            <v/>
          </cell>
          <cell r="X217" t="str">
            <v/>
          </cell>
          <cell r="Y217">
            <v>2.2146139781649143E-3</v>
          </cell>
          <cell r="Z217" t="str">
            <v/>
          </cell>
          <cell r="AA217">
            <v>1.0635937958919706E-2</v>
          </cell>
          <cell r="AB217" t="str">
            <v/>
          </cell>
          <cell r="AC217">
            <v>2.2067336293385642E-2</v>
          </cell>
          <cell r="AD217">
            <v>4.0864846220807549E-2</v>
          </cell>
          <cell r="AE217">
            <v>7.3586349706232679E-2</v>
          </cell>
        </row>
        <row r="218">
          <cell r="D218" t="str">
            <v>USD</v>
          </cell>
          <cell r="N218" t="str">
            <v/>
          </cell>
          <cell r="O218" t="str">
            <v/>
          </cell>
          <cell r="P218">
            <v>1.0586071345272119E-3</v>
          </cell>
          <cell r="Q218" t="str">
            <v/>
          </cell>
          <cell r="R218">
            <v>8.7058512324148518E-3</v>
          </cell>
          <cell r="S218" t="str">
            <v/>
          </cell>
          <cell r="T218">
            <v>2.1697449717626771E-2</v>
          </cell>
          <cell r="U218">
            <v>4.1130816791174918E-2</v>
          </cell>
          <cell r="V218">
            <v>7.4021348920084384E-2</v>
          </cell>
          <cell r="W218" t="str">
            <v/>
          </cell>
          <cell r="X218" t="str">
            <v/>
          </cell>
          <cell r="Y218">
            <v>1.2250834932553412E-3</v>
          </cell>
          <cell r="Z218" t="str">
            <v/>
          </cell>
          <cell r="AA218">
            <v>9.2013744157193322E-3</v>
          </cell>
          <cell r="AB218" t="str">
            <v/>
          </cell>
          <cell r="AC218">
            <v>2.2755612926443458E-2</v>
          </cell>
          <cell r="AD218">
            <v>4.3136320508225245E-2</v>
          </cell>
          <cell r="AE218">
            <v>7.7585276101683531E-2</v>
          </cell>
        </row>
        <row r="219">
          <cell r="D219" t="str">
            <v>USD</v>
          </cell>
          <cell r="N219" t="str">
            <v/>
          </cell>
          <cell r="O219" t="str">
            <v/>
          </cell>
          <cell r="P219">
            <v>4.9560879648484768E-3</v>
          </cell>
          <cell r="Q219" t="str">
            <v/>
          </cell>
          <cell r="R219">
            <v>2.0589652166647321E-2</v>
          </cell>
          <cell r="S219" t="str">
            <v/>
          </cell>
          <cell r="T219">
            <v>5.9052538423907452E-2</v>
          </cell>
          <cell r="U219">
            <v>9.8838004457281192E-2</v>
          </cell>
          <cell r="V219">
            <v>0.16773704072803586</v>
          </cell>
          <cell r="W219" t="str">
            <v/>
          </cell>
          <cell r="X219" t="str">
            <v/>
          </cell>
          <cell r="Y219">
            <v>5.1925486340939075E-3</v>
          </cell>
          <cell r="Z219" t="str">
            <v/>
          </cell>
          <cell r="AA219">
            <v>2.1607791596273795E-2</v>
          </cell>
          <cell r="AB219" t="str">
            <v/>
          </cell>
          <cell r="AC219">
            <v>6.1924321696172457E-2</v>
          </cell>
          <cell r="AD219">
            <v>0.10357030434939518</v>
          </cell>
          <cell r="AE219">
            <v>0.17555401410226779</v>
          </cell>
        </row>
        <row r="220">
          <cell r="D220" t="str">
            <v>USD</v>
          </cell>
          <cell r="N220" t="str">
            <v/>
          </cell>
          <cell r="O220" t="str">
            <v/>
          </cell>
          <cell r="P220">
            <v>2.0378714766647876E-3</v>
          </cell>
          <cell r="Q220" t="str">
            <v/>
          </cell>
          <cell r="R220">
            <v>1.1068649349536774E-2</v>
          </cell>
          <cell r="S220" t="str">
            <v/>
          </cell>
          <cell r="T220">
            <v>2.871251736379099E-2</v>
          </cell>
          <cell r="U220">
            <v>4.1914270667368192E-2</v>
          </cell>
          <cell r="V220">
            <v>6.8933153931498348E-2</v>
          </cell>
          <cell r="W220" t="str">
            <v/>
          </cell>
          <cell r="X220" t="str">
            <v/>
          </cell>
          <cell r="Y220">
            <v>2.2041846382765407E-3</v>
          </cell>
          <cell r="Z220" t="str">
            <v/>
          </cell>
          <cell r="AA220">
            <v>1.1602033919749566E-2</v>
          </cell>
          <cell r="AB220" t="str">
            <v/>
          </cell>
          <cell r="AC220">
            <v>3.0125592573910231E-2</v>
          </cell>
          <cell r="AD220">
            <v>4.3966520446166113E-2</v>
          </cell>
          <cell r="AE220">
            <v>7.2261702409335826E-2</v>
          </cell>
        </row>
        <row r="221">
          <cell r="D221" t="str">
            <v>USD</v>
          </cell>
          <cell r="N221" t="str">
            <v/>
          </cell>
          <cell r="O221" t="str">
            <v/>
          </cell>
          <cell r="P221">
            <v>1.4744325777467093E-3</v>
          </cell>
          <cell r="Q221" t="str">
            <v/>
          </cell>
          <cell r="R221">
            <v>1.2306063919504284E-2</v>
          </cell>
          <cell r="S221" t="str">
            <v/>
          </cell>
          <cell r="T221">
            <v>3.2942631565636704E-2</v>
          </cell>
          <cell r="U221">
            <v>6.182605546436748E-2</v>
          </cell>
          <cell r="V221">
            <v>0.12480340155497727</v>
          </cell>
          <cell r="W221" t="str">
            <v/>
          </cell>
          <cell r="X221" t="str">
            <v/>
          </cell>
          <cell r="Y221">
            <v>1.6408396380223067E-3</v>
          </cell>
          <cell r="Z221" t="str">
            <v/>
          </cell>
          <cell r="AA221">
            <v>1.2895787998960739E-2</v>
          </cell>
          <cell r="AB221" t="str">
            <v/>
          </cell>
          <cell r="AC221">
            <v>3.4559814626281327E-2</v>
          </cell>
          <cell r="AD221">
            <v>6.4833452358715071E-2</v>
          </cell>
          <cell r="AE221">
            <v>0.13076565246033733</v>
          </cell>
        </row>
        <row r="222">
          <cell r="D222" t="str">
            <v>USD</v>
          </cell>
          <cell r="N222" t="str">
            <v/>
          </cell>
          <cell r="O222" t="str">
            <v/>
          </cell>
          <cell r="P222">
            <v>1.6831504453922452E-3</v>
          </cell>
          <cell r="Q222" t="str">
            <v/>
          </cell>
          <cell r="R222">
            <v>1.1131283750257626E-2</v>
          </cell>
          <cell r="S222" t="str">
            <v/>
          </cell>
          <cell r="T222">
            <v>2.3987386287448675E-2</v>
          </cell>
          <cell r="U222">
            <v>4.4211407718108608E-2</v>
          </cell>
          <cell r="V222">
            <v>8.0274164263399728E-2</v>
          </cell>
          <cell r="W222" t="str">
            <v/>
          </cell>
          <cell r="X222" t="str">
            <v/>
          </cell>
          <cell r="Y222">
            <v>1.8495227222452559E-3</v>
          </cell>
          <cell r="Z222" t="str">
            <v/>
          </cell>
          <cell r="AA222">
            <v>1.1666364123775974E-2</v>
          </cell>
          <cell r="AB222" t="str">
            <v/>
          </cell>
          <cell r="AC222">
            <v>2.516826004993844E-2</v>
          </cell>
          <cell r="AD222">
            <v>4.6375140127911996E-2</v>
          </cell>
          <cell r="AE222">
            <v>8.4137909211121187E-2</v>
          </cell>
        </row>
        <row r="223">
          <cell r="D223" t="str">
            <v>USD</v>
          </cell>
          <cell r="N223" t="str">
            <v/>
          </cell>
          <cell r="O223" t="str">
            <v/>
          </cell>
          <cell r="P223">
            <v>8.8631111032944077E-4</v>
          </cell>
          <cell r="Q223" t="str">
            <v/>
          </cell>
          <cell r="R223">
            <v>9.3925994829057169E-3</v>
          </cell>
          <cell r="S223" t="str">
            <v/>
          </cell>
          <cell r="T223">
            <v>2.3802192362657904E-2</v>
          </cell>
          <cell r="U223">
            <v>4.1984621114067866E-2</v>
          </cell>
          <cell r="V223">
            <v>7.8170722543425164E-2</v>
          </cell>
          <cell r="W223" t="str">
            <v/>
          </cell>
          <cell r="X223" t="str">
            <v/>
          </cell>
          <cell r="Y223">
            <v>1.0528161826509619E-3</v>
          </cell>
          <cell r="Z223" t="str">
            <v/>
          </cell>
          <cell r="AA223">
            <v>9.8877793779081902E-3</v>
          </cell>
          <cell r="AB223" t="str">
            <v/>
          </cell>
          <cell r="AC223">
            <v>2.4966436685155524E-2</v>
          </cell>
          <cell r="AD223">
            <v>4.4033755195087121E-2</v>
          </cell>
          <cell r="AE223">
            <v>8.1929785898571472E-2</v>
          </cell>
        </row>
        <row r="224">
          <cell r="D224" t="str">
            <v>USD</v>
          </cell>
          <cell r="N224" t="str">
            <v/>
          </cell>
          <cell r="O224" t="str">
            <v/>
          </cell>
          <cell r="P224">
            <v>6.5131444456578702E-4</v>
          </cell>
          <cell r="Q224" t="str">
            <v/>
          </cell>
          <cell r="R224">
            <v>8.7408670960301693E-3</v>
          </cell>
          <cell r="S224" t="str">
            <v/>
          </cell>
          <cell r="T224">
            <v>2.3030040659537288E-2</v>
          </cell>
          <cell r="U224">
            <v>4.6939084477635173E-2</v>
          </cell>
          <cell r="V224">
            <v>8.963693594035782E-2</v>
          </cell>
          <cell r="W224" t="str">
            <v/>
          </cell>
          <cell r="X224" t="str">
            <v/>
          </cell>
          <cell r="Y224">
            <v>8.1785867974115689E-4</v>
          </cell>
          <cell r="Z224" t="str">
            <v/>
          </cell>
          <cell r="AA224">
            <v>9.2363727757418523E-3</v>
          </cell>
          <cell r="AB224" t="str">
            <v/>
          </cell>
          <cell r="AC224">
            <v>2.41521958819233E-2</v>
          </cell>
          <cell r="AD224">
            <v>4.9224256205728234E-2</v>
          </cell>
          <cell r="AE224">
            <v>9.3958989408839844E-2</v>
          </cell>
        </row>
        <row r="225">
          <cell r="D225" t="str">
            <v>USD</v>
          </cell>
          <cell r="N225" t="str">
            <v/>
          </cell>
          <cell r="O225" t="str">
            <v/>
          </cell>
          <cell r="P225">
            <v>1.0829698485161909E-3</v>
          </cell>
          <cell r="Q225" t="str">
            <v/>
          </cell>
          <cell r="R225">
            <v>1.2097385319976728E-2</v>
          </cell>
          <cell r="S225" t="str">
            <v/>
          </cell>
          <cell r="T225">
            <v>2.7821027641382501E-2</v>
          </cell>
          <cell r="U225">
            <v>5.1216070968107652E-2</v>
          </cell>
          <cell r="V225">
            <v>8.9475663546089157E-2</v>
          </cell>
          <cell r="W225" t="str">
            <v/>
          </cell>
          <cell r="X225" t="str">
            <v/>
          </cell>
          <cell r="Y225">
            <v>1.2494421471256345E-3</v>
          </cell>
          <cell r="Z225" t="str">
            <v/>
          </cell>
          <cell r="AA225">
            <v>1.2675879833422887E-2</v>
          </cell>
          <cell r="AB225" t="str">
            <v/>
          </cell>
          <cell r="AC225">
            <v>2.9187377003528026E-2</v>
          </cell>
          <cell r="AD225">
            <v>5.3714636275642214E-2</v>
          </cell>
          <cell r="AE225">
            <v>9.3761761160904511E-2</v>
          </cell>
        </row>
        <row r="226">
          <cell r="D226" t="str">
            <v>USD</v>
          </cell>
          <cell r="N226" t="str">
            <v/>
          </cell>
          <cell r="O226" t="str">
            <v/>
          </cell>
          <cell r="P226">
            <v>1.2604518222725236E-3</v>
          </cell>
          <cell r="Q226" t="str">
            <v/>
          </cell>
          <cell r="R226">
            <v>8.193153691007482E-3</v>
          </cell>
          <cell r="S226" t="str">
            <v/>
          </cell>
          <cell r="T226">
            <v>2.2167062660479075E-2</v>
          </cell>
          <cell r="U226">
            <v>3.5967077361893196E-2</v>
          </cell>
          <cell r="V226">
            <v>7.0653228848735927E-2</v>
          </cell>
          <cell r="W226" t="str">
            <v/>
          </cell>
          <cell r="X226" t="str">
            <v/>
          </cell>
          <cell r="Y226">
            <v>1.4268945430198077E-3</v>
          </cell>
          <cell r="Z226" t="str">
            <v/>
          </cell>
          <cell r="AA226">
            <v>8.6889331589486973E-3</v>
          </cell>
          <cell r="AB226" t="str">
            <v/>
          </cell>
          <cell r="AC226">
            <v>2.3246363350551413E-2</v>
          </cell>
          <cell r="AD226">
            <v>3.7719705020803684E-2</v>
          </cell>
          <cell r="AE226">
            <v>7.4055752904431227E-2</v>
          </cell>
        </row>
        <row r="227">
          <cell r="D227" t="str">
            <v>USD</v>
          </cell>
          <cell r="N227" t="str">
            <v/>
          </cell>
          <cell r="O227" t="str">
            <v/>
          </cell>
          <cell r="P227">
            <v>7.8361561299300497E-4</v>
          </cell>
          <cell r="Q227" t="str">
            <v/>
          </cell>
          <cell r="R227">
            <v>5.974485887130232E-3</v>
          </cell>
          <cell r="S227" t="str">
            <v/>
          </cell>
          <cell r="T227">
            <v>1.7673903397979585E-2</v>
          </cell>
          <cell r="U227">
            <v>3.2629361635032716E-2</v>
          </cell>
          <cell r="V227">
            <v>6.3664099929978013E-2</v>
          </cell>
          <cell r="W227" t="str">
            <v/>
          </cell>
          <cell r="X227" t="str">
            <v/>
          </cell>
          <cell r="Y227">
            <v>9.5013779983943447E-4</v>
          </cell>
          <cell r="Z227" t="str">
            <v/>
          </cell>
          <cell r="AA227">
            <v>6.4713744117087524E-3</v>
          </cell>
          <cell r="AB227" t="str">
            <v/>
          </cell>
          <cell r="AC227">
            <v>1.8503209388774811E-2</v>
          </cell>
          <cell r="AD227">
            <v>3.4209578214508318E-2</v>
          </cell>
          <cell r="AE227">
            <v>6.6729635785537811E-2</v>
          </cell>
        </row>
        <row r="228">
          <cell r="D228" t="str">
            <v>USD</v>
          </cell>
          <cell r="N228" t="str">
            <v/>
          </cell>
          <cell r="O228" t="str">
            <v/>
          </cell>
          <cell r="P228">
            <v>9.2460166473706806E-4</v>
          </cell>
          <cell r="Q228" t="str">
            <v/>
          </cell>
          <cell r="R228">
            <v>8.4718749631914614E-3</v>
          </cell>
          <cell r="S228" t="str">
            <v/>
          </cell>
          <cell r="T228">
            <v>2.3036331995369363E-2</v>
          </cell>
          <cell r="U228">
            <v>4.6314440451993844E-2</v>
          </cell>
          <cell r="V228">
            <v>8.5060246025798314E-2</v>
          </cell>
          <cell r="W228" t="str">
            <v/>
          </cell>
          <cell r="X228" t="str">
            <v/>
          </cell>
          <cell r="Y228">
            <v>1.0911003558539134E-3</v>
          </cell>
          <cell r="Z228" t="str">
            <v/>
          </cell>
          <cell r="AA228">
            <v>8.967515105320234E-3</v>
          </cell>
          <cell r="AB228" t="str">
            <v/>
          </cell>
          <cell r="AC228">
            <v>2.4158424137438295E-2</v>
          </cell>
          <cell r="AD228">
            <v>4.8569140532918831E-2</v>
          </cell>
          <cell r="AE228">
            <v>8.9138193647228969E-2</v>
          </cell>
        </row>
        <row r="229">
          <cell r="D229" t="str">
            <v>USD</v>
          </cell>
          <cell r="N229" t="str">
            <v/>
          </cell>
          <cell r="O229" t="str">
            <v/>
          </cell>
          <cell r="P229">
            <v>2.6861312516496261E-3</v>
          </cell>
          <cell r="Q229" t="str">
            <v/>
          </cell>
          <cell r="R229">
            <v>1.1341171741377054E-2</v>
          </cell>
          <cell r="S229" t="str">
            <v/>
          </cell>
          <cell r="T229">
            <v>2.5610433723943338E-2</v>
          </cell>
          <cell r="U229">
            <v>4.8016114498597107E-2</v>
          </cell>
          <cell r="V229">
            <v>9.131909293414997E-2</v>
          </cell>
          <cell r="W229" t="str">
            <v/>
          </cell>
          <cell r="X229" t="str">
            <v/>
          </cell>
          <cell r="Y229">
            <v>2.8523363789685341E-3</v>
          </cell>
          <cell r="Z229" t="str">
            <v/>
          </cell>
          <cell r="AA229">
            <v>1.1889725153445219E-2</v>
          </cell>
          <cell r="AB229" t="str">
            <v/>
          </cell>
          <cell r="AC229">
            <v>2.687412305040493E-2</v>
          </cell>
          <cell r="AD229">
            <v>5.0366553508266687E-2</v>
          </cell>
          <cell r="AE229">
            <v>9.572996976742798E-2</v>
          </cell>
        </row>
        <row r="230">
          <cell r="D230" t="str">
            <v>USD</v>
          </cell>
          <cell r="N230" t="str">
            <v/>
          </cell>
          <cell r="O230" t="str">
            <v/>
          </cell>
          <cell r="P230">
            <v>1.7196716210956531E-3</v>
          </cell>
          <cell r="Q230" t="str">
            <v/>
          </cell>
          <cell r="R230">
            <v>1.0496905725687622E-2</v>
          </cell>
          <cell r="S230" t="str">
            <v/>
          </cell>
          <cell r="T230">
            <v>2.6213656096558235E-2</v>
          </cell>
          <cell r="U230">
            <v>4.7878165789302596E-2</v>
          </cell>
          <cell r="V230">
            <v>8.6091828915201285E-2</v>
          </cell>
          <cell r="W230" t="str">
            <v/>
          </cell>
          <cell r="X230" t="str">
            <v/>
          </cell>
          <cell r="Y230">
            <v>1.886037811607344E-3</v>
          </cell>
          <cell r="Z230" t="str">
            <v/>
          </cell>
          <cell r="AA230">
            <v>1.1002165389409124E-2</v>
          </cell>
          <cell r="AB230" t="str">
            <v/>
          </cell>
          <cell r="AC230">
            <v>2.7503618217882719E-2</v>
          </cell>
          <cell r="AD230">
            <v>5.0219128051085304E-2</v>
          </cell>
          <cell r="AE230">
            <v>9.0225462347941932E-2</v>
          </cell>
        </row>
        <row r="231">
          <cell r="D231" t="str">
            <v>USD</v>
          </cell>
          <cell r="N231" t="str">
            <v/>
          </cell>
          <cell r="O231" t="str">
            <v/>
          </cell>
          <cell r="P231">
            <v>6.3705433652815113E-2</v>
          </cell>
          <cell r="Q231" t="str">
            <v/>
          </cell>
          <cell r="R231">
            <v>0.17230983101470176</v>
          </cell>
          <cell r="S231" t="str">
            <v/>
          </cell>
          <cell r="T231">
            <v>0.23403986844399138</v>
          </cell>
          <cell r="U231">
            <v>0.28247983044323122</v>
          </cell>
          <cell r="V231">
            <v>0.36016771387077939</v>
          </cell>
          <cell r="W231" t="str">
            <v/>
          </cell>
          <cell r="X231" t="str">
            <v/>
          </cell>
          <cell r="Y231">
            <v>6.6781885321132495E-2</v>
          </cell>
          <cell r="Z231" t="str">
            <v/>
          </cell>
          <cell r="AA231">
            <v>0.18009404196171319</v>
          </cell>
          <cell r="AB231" t="str">
            <v/>
          </cell>
          <cell r="AC231">
            <v>0.24401136527797507</v>
          </cell>
          <cell r="AD231">
            <v>0.29393546062027809</v>
          </cell>
          <cell r="AE231">
            <v>0.37380005785297421</v>
          </cell>
        </row>
        <row r="232">
          <cell r="D232" t="str">
            <v>USD</v>
          </cell>
          <cell r="N232" t="str">
            <v/>
          </cell>
          <cell r="O232" t="str">
            <v/>
          </cell>
          <cell r="P232">
            <v>1.9109513602653116E-3</v>
          </cell>
          <cell r="Q232" t="str">
            <v/>
          </cell>
          <cell r="R232">
            <v>1.1269600169542038E-2</v>
          </cell>
          <cell r="S232" t="str">
            <v/>
          </cell>
          <cell r="T232">
            <v>3.8189783631834784E-2</v>
          </cell>
          <cell r="U232">
            <v>6.8315450067625738E-2</v>
          </cell>
          <cell r="V232">
            <v>0.11905056685569904</v>
          </cell>
          <cell r="W232" t="str">
            <v/>
          </cell>
          <cell r="X232" t="str">
            <v/>
          </cell>
          <cell r="Y232">
            <v>2.0772856734643241E-3</v>
          </cell>
          <cell r="Z232" t="str">
            <v/>
          </cell>
          <cell r="AA232">
            <v>1.1812017137188824E-2</v>
          </cell>
          <cell r="AB232" t="str">
            <v/>
          </cell>
          <cell r="AC232">
            <v>4.0062887889413257E-2</v>
          </cell>
          <cell r="AD232">
            <v>7.1633110267740885E-2</v>
          </cell>
          <cell r="AE232">
            <v>0.12472814452781777</v>
          </cell>
        </row>
        <row r="233">
          <cell r="D233" t="str">
            <v>USD</v>
          </cell>
          <cell r="N233" t="str">
            <v/>
          </cell>
          <cell r="O233" t="str">
            <v/>
          </cell>
          <cell r="P233">
            <v>0.20078879439970199</v>
          </cell>
          <cell r="Q233" t="str">
            <v/>
          </cell>
          <cell r="R233">
            <v>0.35487583743272866</v>
          </cell>
          <cell r="S233" t="str">
            <v/>
          </cell>
          <cell r="T233">
            <v>0.38598095450811531</v>
          </cell>
          <cell r="U233">
            <v>0.45911815153407975</v>
          </cell>
          <cell r="V233">
            <v>0.53929091875340684</v>
          </cell>
          <cell r="W233" t="str">
            <v/>
          </cell>
          <cell r="X233" t="str">
            <v/>
          </cell>
          <cell r="Y233">
            <v>0.20969482186425314</v>
          </cell>
          <cell r="Z233" t="str">
            <v/>
          </cell>
          <cell r="AA233">
            <v>0.36823991182338445</v>
          </cell>
          <cell r="AB233" t="str">
            <v/>
          </cell>
          <cell r="AC233">
            <v>0.39912035104154109</v>
          </cell>
          <cell r="AD233">
            <v>0.47363649353056059</v>
          </cell>
          <cell r="AE233">
            <v>0.55450755319268885</v>
          </cell>
        </row>
        <row r="234">
          <cell r="D234" t="str">
            <v>USD</v>
          </cell>
          <cell r="N234" t="str">
            <v/>
          </cell>
          <cell r="O234" t="str">
            <v/>
          </cell>
          <cell r="P234">
            <v>9.8725579359904003E-4</v>
          </cell>
          <cell r="Q234" t="str">
            <v/>
          </cell>
          <cell r="R234">
            <v>6.4637295889488078E-3</v>
          </cell>
          <cell r="S234" t="str">
            <v/>
          </cell>
          <cell r="T234">
            <v>1.7605685105666291E-2</v>
          </cell>
          <cell r="U234">
            <v>3.3829188649336928E-2</v>
          </cell>
          <cell r="V234">
            <v>6.5293716068102081E-2</v>
          </cell>
          <cell r="W234" t="str">
            <v/>
          </cell>
          <cell r="X234" t="str">
            <v/>
          </cell>
          <cell r="Y234">
            <v>1.1537440432072277E-3</v>
          </cell>
          <cell r="Z234" t="str">
            <v/>
          </cell>
          <cell r="AA234">
            <v>6.9603735528124266E-3</v>
          </cell>
          <cell r="AB234" t="str">
            <v/>
          </cell>
          <cell r="AC234">
            <v>1.8435048688180689E-2</v>
          </cell>
          <cell r="AD234">
            <v>3.5471052798188185E-2</v>
          </cell>
          <cell r="AE234">
            <v>6.8439665447277642E-2</v>
          </cell>
        </row>
        <row r="235">
          <cell r="D235" t="str">
            <v>USD</v>
          </cell>
          <cell r="N235" t="str">
            <v/>
          </cell>
          <cell r="O235" t="str">
            <v/>
          </cell>
          <cell r="P235">
            <v>1.3230850461797283E-3</v>
          </cell>
          <cell r="Q235" t="str">
            <v/>
          </cell>
          <cell r="R235">
            <v>1.069204160540238E-2</v>
          </cell>
          <cell r="S235" t="str">
            <v/>
          </cell>
          <cell r="T235">
            <v>2.3194780259568892E-2</v>
          </cell>
          <cell r="U235">
            <v>4.4078850461690466E-2</v>
          </cell>
          <cell r="V235">
            <v>8.2194048776386031E-2</v>
          </cell>
          <cell r="W235" t="str">
            <v/>
          </cell>
          <cell r="X235" t="str">
            <v/>
          </cell>
          <cell r="Y235">
            <v>1.4895173289440899E-3</v>
          </cell>
          <cell r="Z235" t="str">
            <v/>
          </cell>
          <cell r="AA235">
            <v>1.1205112019712193E-2</v>
          </cell>
          <cell r="AB235" t="str">
            <v/>
          </cell>
          <cell r="AC235">
            <v>2.4335606491082129E-2</v>
          </cell>
          <cell r="AD235">
            <v>4.6235373204148944E-2</v>
          </cell>
          <cell r="AE235">
            <v>8.6147260684383276E-2</v>
          </cell>
        </row>
        <row r="236">
          <cell r="D236" t="str">
            <v>USD</v>
          </cell>
          <cell r="N236" t="str">
            <v/>
          </cell>
          <cell r="O236" t="str">
            <v/>
          </cell>
          <cell r="P236">
            <v>2.0152704360608675E-3</v>
          </cell>
          <cell r="Q236" t="str">
            <v/>
          </cell>
          <cell r="R236">
            <v>1.7016491718667814E-2</v>
          </cell>
          <cell r="S236" t="str">
            <v/>
          </cell>
          <cell r="T236">
            <v>3.9671901811929366E-2</v>
          </cell>
          <cell r="U236">
            <v>7.3505145671454941E-2</v>
          </cell>
          <cell r="V236">
            <v>0.12869113811436617</v>
          </cell>
          <cell r="W236" t="str">
            <v/>
          </cell>
          <cell r="X236" t="str">
            <v/>
          </cell>
          <cell r="Y236">
            <v>2.1815873642121453E-3</v>
          </cell>
          <cell r="Z236" t="str">
            <v/>
          </cell>
          <cell r="AA236">
            <v>1.7854401813319765E-2</v>
          </cell>
          <cell r="AB236" t="str">
            <v/>
          </cell>
          <cell r="AC236">
            <v>4.161384316339567E-2</v>
          </cell>
          <cell r="AD236">
            <v>7.7060626408592792E-2</v>
          </cell>
          <cell r="AE236">
            <v>0.13479881193961973</v>
          </cell>
        </row>
        <row r="237">
          <cell r="D237" t="str">
            <v>USD</v>
          </cell>
          <cell r="N237" t="str">
            <v/>
          </cell>
          <cell r="O237" t="str">
            <v/>
          </cell>
          <cell r="P237">
            <v>1.8483547218300922E-3</v>
          </cell>
          <cell r="Q237" t="str">
            <v/>
          </cell>
          <cell r="R237">
            <v>1.0150743548876129E-2</v>
          </cell>
          <cell r="S237" t="str">
            <v/>
          </cell>
          <cell r="T237">
            <v>2.667075050628398E-2</v>
          </cell>
          <cell r="U237">
            <v>4.5583517779346883E-2</v>
          </cell>
          <cell r="V237">
            <v>9.5589893705675832E-2</v>
          </cell>
          <cell r="W237" t="str">
            <v/>
          </cell>
          <cell r="X237" t="str">
            <v/>
          </cell>
          <cell r="Y237">
            <v>2.0146994669147933E-3</v>
          </cell>
          <cell r="Z237" t="str">
            <v/>
          </cell>
          <cell r="AA237">
            <v>1.0645544466598378E-2</v>
          </cell>
          <cell r="AB237" t="str">
            <v/>
          </cell>
          <cell r="AC237">
            <v>2.7982894729301488E-2</v>
          </cell>
          <cell r="AD237">
            <v>4.7813435178404196E-2</v>
          </cell>
          <cell r="AE237">
            <v>0.10020387532178232</v>
          </cell>
        </row>
        <row r="238">
          <cell r="D238" t="str">
            <v>USD</v>
          </cell>
          <cell r="N238" t="str">
            <v/>
          </cell>
          <cell r="O238" t="str">
            <v/>
          </cell>
          <cell r="P238">
            <v>1.7961878810252019E-3</v>
          </cell>
          <cell r="Q238" t="str">
            <v/>
          </cell>
          <cell r="R238">
            <v>9.3152997035989005E-3</v>
          </cell>
          <cell r="S238" t="str">
            <v/>
          </cell>
          <cell r="T238">
            <v>2.287312778403694E-2</v>
          </cell>
          <cell r="U238">
            <v>4.2571173821221886E-2</v>
          </cell>
          <cell r="V238">
            <v>7.7586149811123883E-2</v>
          </cell>
          <cell r="W238" t="str">
            <v/>
          </cell>
          <cell r="X238" t="str">
            <v/>
          </cell>
          <cell r="Y238">
            <v>1.9625413198929298E-3</v>
          </cell>
          <cell r="Z238" t="str">
            <v/>
          </cell>
          <cell r="AA238">
            <v>9.8105182388066314E-3</v>
          </cell>
          <cell r="AB238" t="str">
            <v/>
          </cell>
          <cell r="AC238">
            <v>2.3994855168960383E-2</v>
          </cell>
          <cell r="AD238">
            <v>4.465191989668793E-2</v>
          </cell>
          <cell r="AE238">
            <v>8.1321712913688837E-2</v>
          </cell>
        </row>
        <row r="239">
          <cell r="D239" t="str">
            <v>USD</v>
          </cell>
          <cell r="N239" t="str">
            <v/>
          </cell>
          <cell r="O239" t="str">
            <v/>
          </cell>
          <cell r="P239">
            <v>1.0481657908470998E-3</v>
          </cell>
          <cell r="Q239" t="str">
            <v/>
          </cell>
          <cell r="R239">
            <v>1.0463796475521758E-2</v>
          </cell>
          <cell r="S239" t="str">
            <v/>
          </cell>
          <cell r="T239">
            <v>2.1509775594588776E-2</v>
          </cell>
          <cell r="U239">
            <v>4.2427047412398111E-2</v>
          </cell>
          <cell r="V239">
            <v>7.8030811850218651E-2</v>
          </cell>
          <cell r="W239" t="str">
            <v/>
          </cell>
          <cell r="X239" t="str">
            <v/>
          </cell>
          <cell r="Y239">
            <v>1.2146438896442069E-3</v>
          </cell>
          <cell r="Z239" t="str">
            <v/>
          </cell>
          <cell r="AA239">
            <v>1.0965116913841833E-2</v>
          </cell>
          <cell r="AB239" t="str">
            <v/>
          </cell>
          <cell r="AC239">
            <v>2.2567014519290995E-2</v>
          </cell>
          <cell r="AD239">
            <v>4.450309391919105E-2</v>
          </cell>
          <cell r="AE239">
            <v>8.1790315816430814E-2</v>
          </cell>
        </row>
        <row r="240">
          <cell r="D240" t="str">
            <v>USD</v>
          </cell>
          <cell r="N240" t="str">
            <v/>
          </cell>
          <cell r="O240" t="str">
            <v/>
          </cell>
          <cell r="P240">
            <v>1.6379319148577265E-3</v>
          </cell>
          <cell r="Q240" t="str">
            <v/>
          </cell>
          <cell r="R240">
            <v>1.0492607495367179E-2</v>
          </cell>
          <cell r="S240" t="str">
            <v/>
          </cell>
          <cell r="T240">
            <v>2.7081218582012512E-2</v>
          </cell>
          <cell r="U240">
            <v>4.9027686654934954E-2</v>
          </cell>
          <cell r="V240">
            <v>8.7648707143187621E-2</v>
          </cell>
          <cell r="W240" t="str">
            <v/>
          </cell>
          <cell r="X240" t="str">
            <v/>
          </cell>
          <cell r="Y240">
            <v>1.8043117274891829E-3</v>
          </cell>
          <cell r="Z240" t="str">
            <v/>
          </cell>
          <cell r="AA240">
            <v>1.0997374852653397E-2</v>
          </cell>
          <cell r="AB240" t="str">
            <v/>
          </cell>
          <cell r="AC240">
            <v>2.8413311460891322E-2</v>
          </cell>
          <cell r="AD240">
            <v>5.1423672665927844E-2</v>
          </cell>
          <cell r="AE240">
            <v>9.1853643933782814E-2</v>
          </cell>
        </row>
        <row r="241">
          <cell r="D241" t="str">
            <v>USD</v>
          </cell>
          <cell r="N241" t="str">
            <v/>
          </cell>
          <cell r="O241" t="str">
            <v/>
          </cell>
          <cell r="P241">
            <v>1.7527134472333783E-3</v>
          </cell>
          <cell r="Q241" t="str">
            <v/>
          </cell>
          <cell r="R241">
            <v>1.259551998773667E-2</v>
          </cell>
          <cell r="S241" t="str">
            <v/>
          </cell>
          <cell r="T241">
            <v>2.3823090776985634E-2</v>
          </cell>
          <cell r="U241">
            <v>4.0694858841227588E-2</v>
          </cell>
          <cell r="V241">
            <v>6.4656841329798542E-2</v>
          </cell>
          <cell r="W241" t="str">
            <v/>
          </cell>
          <cell r="X241" t="str">
            <v/>
          </cell>
          <cell r="Y241">
            <v>1.9190741312296034E-3</v>
          </cell>
          <cell r="Z241" t="str">
            <v/>
          </cell>
          <cell r="AA241">
            <v>1.3199873354073799E-2</v>
          </cell>
          <cell r="AB241" t="str">
            <v/>
          </cell>
          <cell r="AC241">
            <v>2.4996107561538028E-2</v>
          </cell>
          <cell r="AD241">
            <v>4.268777689359482E-2</v>
          </cell>
          <cell r="AE241">
            <v>6.7785471573646561E-2</v>
          </cell>
        </row>
        <row r="242">
          <cell r="D242" t="str">
            <v>USD</v>
          </cell>
          <cell r="N242" t="str">
            <v/>
          </cell>
          <cell r="O242" t="str">
            <v/>
          </cell>
          <cell r="P242">
            <v>3.6152118509024112E-3</v>
          </cell>
          <cell r="Q242" t="str">
            <v/>
          </cell>
          <cell r="R242">
            <v>1.7948696570403655E-2</v>
          </cell>
          <cell r="S242" t="str">
            <v/>
          </cell>
          <cell r="T242">
            <v>4.4137962319723556E-2</v>
          </cell>
          <cell r="U242">
            <v>7.2763924391964996E-2</v>
          </cell>
          <cell r="V242">
            <v>0.1178875560812721</v>
          </cell>
          <cell r="W242" t="str">
            <v/>
          </cell>
          <cell r="X242" t="str">
            <v/>
          </cell>
          <cell r="Y242">
            <v>3.7878205627903672E-3</v>
          </cell>
          <cell r="Z242" t="str">
            <v/>
          </cell>
          <cell r="AA242">
            <v>1.883768154309573E-2</v>
          </cell>
          <cell r="AB242" t="str">
            <v/>
          </cell>
          <cell r="AC242">
            <v>4.6299581724328132E-2</v>
          </cell>
          <cell r="AD242">
            <v>7.6286052249558978E-2</v>
          </cell>
          <cell r="AE242">
            <v>0.12348818216038537</v>
          </cell>
        </row>
        <row r="243">
          <cell r="D243" t="str">
            <v>USD</v>
          </cell>
          <cell r="N243" t="str">
            <v/>
          </cell>
          <cell r="O243" t="str">
            <v/>
          </cell>
          <cell r="P243">
            <v>1.203034608874054E-3</v>
          </cell>
          <cell r="Q243" t="str">
            <v/>
          </cell>
          <cell r="R243">
            <v>1.4942263168856162E-2</v>
          </cell>
          <cell r="S243" t="str">
            <v/>
          </cell>
          <cell r="T243">
            <v>3.6114810198556446E-2</v>
          </cell>
          <cell r="U243">
            <v>6.4062662253452474E-2</v>
          </cell>
          <cell r="V243">
            <v>0.11296476983159598</v>
          </cell>
          <cell r="W243" t="str">
            <v/>
          </cell>
          <cell r="X243" t="str">
            <v/>
          </cell>
          <cell r="Y243">
            <v>1.3694868983674668E-3</v>
          </cell>
          <cell r="Z243" t="str">
            <v/>
          </cell>
          <cell r="AA243">
            <v>1.5675340905263679E-2</v>
          </cell>
          <cell r="AB243" t="str">
            <v/>
          </cell>
          <cell r="AC243">
            <v>3.7882653519485499E-2</v>
          </cell>
          <cell r="AD243">
            <v>6.7170611753491594E-2</v>
          </cell>
          <cell r="AE243">
            <v>0.11835665955451113</v>
          </cell>
        </row>
        <row r="244">
          <cell r="D244" t="str">
            <v>USD</v>
          </cell>
          <cell r="N244" t="str">
            <v/>
          </cell>
          <cell r="O244" t="str">
            <v/>
          </cell>
          <cell r="P244">
            <v>4.3526549618452259E-3</v>
          </cell>
          <cell r="Q244" t="str">
            <v/>
          </cell>
          <cell r="R244">
            <v>3.1772776945687475E-2</v>
          </cell>
          <cell r="S244" t="str">
            <v/>
          </cell>
          <cell r="T244">
            <v>7.0407553306513493E-2</v>
          </cell>
          <cell r="U244">
            <v>0.11669181150169006</v>
          </cell>
          <cell r="V244">
            <v>0.20181151970558342</v>
          </cell>
          <cell r="W244" t="str">
            <v/>
          </cell>
          <cell r="X244" t="str">
            <v/>
          </cell>
          <cell r="Y244">
            <v>4.5603916998854244E-3</v>
          </cell>
          <cell r="Z244" t="str">
            <v/>
          </cell>
          <cell r="AA244">
            <v>3.3333921766823149E-2</v>
          </cell>
          <cell r="AB244" t="str">
            <v/>
          </cell>
          <cell r="AC244">
            <v>7.3809706233309624E-2</v>
          </cell>
          <cell r="AD244">
            <v>0.12224674944997227</v>
          </cell>
          <cell r="AE244">
            <v>0.21105992351537073</v>
          </cell>
        </row>
        <row r="245">
          <cell r="D245" t="str">
            <v>USD</v>
          </cell>
          <cell r="N245" t="str">
            <v/>
          </cell>
          <cell r="O245" t="str">
            <v/>
          </cell>
          <cell r="P245">
            <v>5.4413457335917848E-3</v>
          </cell>
          <cell r="Q245" t="str">
            <v/>
          </cell>
          <cell r="R245">
            <v>3.6105321830091075E-2</v>
          </cell>
          <cell r="S245" t="str">
            <v/>
          </cell>
          <cell r="T245">
            <v>9.7470028596337022E-2</v>
          </cell>
          <cell r="U245">
            <v>0.15441414471634862</v>
          </cell>
          <cell r="V245">
            <v>0.24747232853017287</v>
          </cell>
          <cell r="W245" t="str">
            <v/>
          </cell>
          <cell r="X245" t="str">
            <v/>
          </cell>
          <cell r="Y245">
            <v>5.7008916701415391E-3</v>
          </cell>
          <cell r="Z245" t="str">
            <v/>
          </cell>
          <cell r="AA245">
            <v>3.7874604082240637E-2</v>
          </cell>
          <cell r="AB245" t="str">
            <v/>
          </cell>
          <cell r="AC245">
            <v>0.10216543054060478</v>
          </cell>
          <cell r="AD245">
            <v>0.16164257412813343</v>
          </cell>
          <cell r="AE245">
            <v>0.25850313431873706</v>
          </cell>
        </row>
        <row r="246">
          <cell r="D246" t="str">
            <v>USD</v>
          </cell>
          <cell r="N246" t="str">
            <v/>
          </cell>
          <cell r="O246" t="str">
            <v/>
          </cell>
          <cell r="P246">
            <v>1.112552351217988E-3</v>
          </cell>
          <cell r="Q246" t="str">
            <v/>
          </cell>
          <cell r="R246">
            <v>7.4567292917206984E-3</v>
          </cell>
          <cell r="S246" t="str">
            <v/>
          </cell>
          <cell r="T246">
            <v>2.2258376719602402E-2</v>
          </cell>
          <cell r="U246">
            <v>4.0789662154852246E-2</v>
          </cell>
          <cell r="V246">
            <v>7.6725402498749373E-2</v>
          </cell>
          <cell r="W246" t="str">
            <v/>
          </cell>
          <cell r="X246" t="str">
            <v/>
          </cell>
          <cell r="Y246">
            <v>1.2790197198424558E-3</v>
          </cell>
          <cell r="Z246" t="str">
            <v/>
          </cell>
          <cell r="AA246">
            <v>7.9528768798032834E-3</v>
          </cell>
          <cell r="AB246" t="str">
            <v/>
          </cell>
          <cell r="AC246">
            <v>2.3337781387756773E-2</v>
          </cell>
          <cell r="AD246">
            <v>4.2772719911814083E-2</v>
          </cell>
          <cell r="AE246">
            <v>8.0409989805390047E-2</v>
          </cell>
        </row>
        <row r="247">
          <cell r="D247" t="str">
            <v>USD</v>
          </cell>
          <cell r="N247" t="str">
            <v/>
          </cell>
          <cell r="O247" t="str">
            <v/>
          </cell>
          <cell r="P247">
            <v>1.0620875583301492E-3</v>
          </cell>
          <cell r="Q247" t="str">
            <v/>
          </cell>
          <cell r="R247">
            <v>1.1959214879353475E-2</v>
          </cell>
          <cell r="S247" t="str">
            <v/>
          </cell>
          <cell r="T247">
            <v>2.3079714171175825E-2</v>
          </cell>
          <cell r="U247">
            <v>4.3331166388317799E-2</v>
          </cell>
          <cell r="V247">
            <v>8.4988194299987718E-2</v>
          </cell>
          <cell r="W247" t="str">
            <v/>
          </cell>
          <cell r="X247" t="str">
            <v/>
          </cell>
          <cell r="Y247">
            <v>1.2285633370533455E-3</v>
          </cell>
          <cell r="Z247" t="str">
            <v/>
          </cell>
          <cell r="AA247">
            <v>1.2531124909979541E-2</v>
          </cell>
          <cell r="AB247" t="str">
            <v/>
          </cell>
          <cell r="AC247">
            <v>2.421400148930708E-2</v>
          </cell>
          <cell r="AD247">
            <v>4.5450056432038366E-2</v>
          </cell>
          <cell r="AE247">
            <v>8.9098933449573203E-2</v>
          </cell>
        </row>
        <row r="248">
          <cell r="D248" t="str">
            <v>USD</v>
          </cell>
          <cell r="N248" t="str">
            <v/>
          </cell>
          <cell r="O248" t="str">
            <v/>
          </cell>
          <cell r="P248">
            <v>4.143682557061934E-2</v>
          </cell>
          <cell r="Q248" t="str">
            <v/>
          </cell>
          <cell r="R248">
            <v>0.11572777208412199</v>
          </cell>
          <cell r="S248" t="str">
            <v/>
          </cell>
          <cell r="T248">
            <v>0.16647978982436162</v>
          </cell>
          <cell r="U248">
            <v>0.21499508689583247</v>
          </cell>
          <cell r="V248">
            <v>0.27865749482157376</v>
          </cell>
          <cell r="W248" t="str">
            <v/>
          </cell>
          <cell r="X248" t="str">
            <v/>
          </cell>
          <cell r="Y248">
            <v>4.3449765714579258E-2</v>
          </cell>
          <cell r="Z248" t="str">
            <v/>
          </cell>
          <cell r="AA248">
            <v>0.12114970319933915</v>
          </cell>
          <cell r="AB248" t="str">
            <v/>
          </cell>
          <cell r="AC248">
            <v>0.17397792121717615</v>
          </cell>
          <cell r="AD248">
            <v>0.2243364061311689</v>
          </cell>
          <cell r="AE248">
            <v>0.2901514089301942</v>
          </cell>
        </row>
        <row r="249">
          <cell r="D249" t="str">
            <v>USD</v>
          </cell>
          <cell r="N249" t="str">
            <v/>
          </cell>
          <cell r="O249" t="str">
            <v/>
          </cell>
          <cell r="P249">
            <v>2.7243533659855323E-3</v>
          </cell>
          <cell r="Q249" t="str">
            <v/>
          </cell>
          <cell r="R249">
            <v>1.2015844733272218E-2</v>
          </cell>
          <cell r="S249" t="str">
            <v/>
          </cell>
          <cell r="T249">
            <v>2.3365695280031296E-2</v>
          </cell>
          <cell r="U249">
            <v>4.2843753866060319E-2</v>
          </cell>
          <cell r="V249">
            <v>7.3748772426812548E-2</v>
          </cell>
          <cell r="W249" t="str">
            <v/>
          </cell>
          <cell r="X249" t="str">
            <v/>
          </cell>
          <cell r="Y249">
            <v>2.8905521234636744E-3</v>
          </cell>
          <cell r="Z249" t="str">
            <v/>
          </cell>
          <cell r="AA249">
            <v>1.2596361804383838E-2</v>
          </cell>
          <cell r="AB249" t="str">
            <v/>
          </cell>
          <cell r="AC249">
            <v>2.4519578354023408E-2</v>
          </cell>
          <cell r="AD249">
            <v>4.4944383054942083E-2</v>
          </cell>
          <cell r="AE249">
            <v>7.7310046182019643E-2</v>
          </cell>
        </row>
        <row r="250">
          <cell r="D250" t="str">
            <v>USD</v>
          </cell>
          <cell r="N250" t="str">
            <v/>
          </cell>
          <cell r="O250" t="str">
            <v/>
          </cell>
          <cell r="P250">
            <v>1.2152142915468067E-3</v>
          </cell>
          <cell r="Q250" t="str">
            <v/>
          </cell>
          <cell r="R250">
            <v>8.3883834797301438E-3</v>
          </cell>
          <cell r="S250" t="str">
            <v/>
          </cell>
          <cell r="T250">
            <v>2.3021199403802539E-2</v>
          </cell>
          <cell r="U250">
            <v>4.4628987167698808E-2</v>
          </cell>
          <cell r="V250">
            <v>8.6069364778022961E-2</v>
          </cell>
          <cell r="W250" t="str">
            <v/>
          </cell>
          <cell r="X250" t="str">
            <v/>
          </cell>
          <cell r="Y250">
            <v>1.3816645512390036E-3</v>
          </cell>
          <cell r="Z250" t="str">
            <v/>
          </cell>
          <cell r="AA250">
            <v>8.8840653571865547E-3</v>
          </cell>
          <cell r="AB250" t="str">
            <v/>
          </cell>
          <cell r="AC250">
            <v>2.4143205558857961E-2</v>
          </cell>
          <cell r="AD250">
            <v>4.6802827248623058E-2</v>
          </cell>
          <cell r="AE250">
            <v>9.0223682451361698E-2</v>
          </cell>
        </row>
        <row r="251">
          <cell r="D251" t="str">
            <v>USD</v>
          </cell>
          <cell r="N251" t="str">
            <v/>
          </cell>
          <cell r="O251" t="str">
            <v/>
          </cell>
          <cell r="P251">
            <v>3.3530723222413572E-3</v>
          </cell>
          <cell r="Q251" t="str">
            <v/>
          </cell>
          <cell r="R251">
            <v>2.4013227584184449E-2</v>
          </cell>
          <cell r="S251" t="str">
            <v/>
          </cell>
          <cell r="T251">
            <v>5.7087137027170276E-2</v>
          </cell>
          <cell r="U251">
            <v>9.9695622139966966E-2</v>
          </cell>
          <cell r="V251">
            <v>0.16574710109698243</v>
          </cell>
          <cell r="W251" t="str">
            <v/>
          </cell>
          <cell r="X251" t="str">
            <v/>
          </cell>
          <cell r="Y251">
            <v>3.5191663019898956E-3</v>
          </cell>
          <cell r="Z251" t="str">
            <v/>
          </cell>
          <cell r="AA251">
            <v>2.5198043700001338E-2</v>
          </cell>
          <cell r="AB251" t="str">
            <v/>
          </cell>
          <cell r="AC251">
            <v>5.9865048714901947E-2</v>
          </cell>
          <cell r="AD251">
            <v>0.10446403667024151</v>
          </cell>
          <cell r="AE251">
            <v>0.17347051203456576</v>
          </cell>
        </row>
        <row r="252">
          <cell r="D252" t="str">
            <v>USD</v>
          </cell>
          <cell r="N252" t="str">
            <v/>
          </cell>
          <cell r="O252" t="str">
            <v/>
          </cell>
          <cell r="P252">
            <v>1.0481657908470998E-3</v>
          </cell>
          <cell r="Q252" t="str">
            <v/>
          </cell>
          <cell r="R252">
            <v>1.4830089090980159E-2</v>
          </cell>
          <cell r="S252" t="str">
            <v/>
          </cell>
          <cell r="T252">
            <v>3.2697499658286056E-2</v>
          </cell>
          <cell r="U252">
            <v>5.5445238693095811E-2</v>
          </cell>
          <cell r="V252">
            <v>9.7250824148170767E-2</v>
          </cell>
          <cell r="W252" t="str">
            <v/>
          </cell>
          <cell r="X252" t="str">
            <v/>
          </cell>
          <cell r="Y252">
            <v>1.2146438896442069E-3</v>
          </cell>
          <cell r="Z252" t="str">
            <v/>
          </cell>
          <cell r="AA252">
            <v>1.5557086892530103E-2</v>
          </cell>
          <cell r="AB252" t="str">
            <v/>
          </cell>
          <cell r="AC252">
            <v>3.4298972517262216E-2</v>
          </cell>
          <cell r="AD252">
            <v>5.8141636280326314E-2</v>
          </cell>
          <cell r="AE252">
            <v>0.10191633958223945</v>
          </cell>
        </row>
        <row r="253">
          <cell r="D253" t="str">
            <v>USD</v>
          </cell>
          <cell r="N253" t="str">
            <v/>
          </cell>
          <cell r="O253" t="str">
            <v/>
          </cell>
          <cell r="P253">
            <v>6.5131444456578702E-4</v>
          </cell>
          <cell r="Q253" t="str">
            <v/>
          </cell>
          <cell r="R253">
            <v>6.4879687917723805E-3</v>
          </cell>
          <cell r="S253" t="str">
            <v/>
          </cell>
          <cell r="T253">
            <v>1.675652435193753E-2</v>
          </cell>
          <cell r="U253">
            <v>3.7154004213593494E-2</v>
          </cell>
          <cell r="V253">
            <v>6.1105722860879785E-2</v>
          </cell>
          <cell r="W253" t="str">
            <v/>
          </cell>
          <cell r="X253" t="str">
            <v/>
          </cell>
          <cell r="Y253">
            <v>8.1785867974115689E-4</v>
          </cell>
          <cell r="Z253" t="str">
            <v/>
          </cell>
          <cell r="AA253">
            <v>6.9846006390484883E-3</v>
          </cell>
          <cell r="AB253" t="str">
            <v/>
          </cell>
          <cell r="AC253">
            <v>1.7575552605826106E-2</v>
          </cell>
          <cell r="AD253">
            <v>3.8952969469226995E-2</v>
          </cell>
          <cell r="AE253">
            <v>6.4049110936439835E-2</v>
          </cell>
        </row>
        <row r="254">
          <cell r="D254" t="str">
            <v>USD</v>
          </cell>
          <cell r="N254" t="str">
            <v/>
          </cell>
          <cell r="O254" t="str">
            <v/>
          </cell>
          <cell r="P254">
            <v>1.8900862468907986E-3</v>
          </cell>
          <cell r="Q254" t="str">
            <v/>
          </cell>
          <cell r="R254">
            <v>6.6477611369843981E-3</v>
          </cell>
          <cell r="S254" t="str">
            <v/>
          </cell>
          <cell r="T254">
            <v>1.8809105975434504E-2</v>
          </cell>
          <cell r="U254">
            <v>3.5498292539145493E-2</v>
          </cell>
          <cell r="V254">
            <v>5.9032738935987261E-2</v>
          </cell>
          <cell r="W254" t="str">
            <v/>
          </cell>
          <cell r="X254" t="str">
            <v/>
          </cell>
          <cell r="Y254">
            <v>2.0564240372989984E-3</v>
          </cell>
          <cell r="Z254" t="str">
            <v/>
          </cell>
          <cell r="AA254">
            <v>7.14431310805963E-3</v>
          </cell>
          <cell r="AB254" t="str">
            <v/>
          </cell>
          <cell r="AC254">
            <v>1.9717976114162594E-2</v>
          </cell>
          <cell r="AD254">
            <v>3.7223665318544374E-2</v>
          </cell>
          <cell r="AE254">
            <v>6.1883009898745955E-2</v>
          </cell>
        </row>
        <row r="255">
          <cell r="D255" t="str">
            <v>USD</v>
          </cell>
          <cell r="N255" t="str">
            <v/>
          </cell>
          <cell r="O255" t="str">
            <v/>
          </cell>
          <cell r="P255">
            <v>1.2099944455987721E-3</v>
          </cell>
          <cell r="Q255" t="str">
            <v/>
          </cell>
          <cell r="R255">
            <v>7.9478145394911159E-3</v>
          </cell>
          <cell r="S255" t="str">
            <v/>
          </cell>
          <cell r="T255">
            <v>2.0031102743440332E-2</v>
          </cell>
          <cell r="U255">
            <v>3.9087060093143999E-2</v>
          </cell>
          <cell r="V255">
            <v>8.0028202413173877E-2</v>
          </cell>
          <cell r="W255" t="str">
            <v/>
          </cell>
          <cell r="X255" t="str">
            <v/>
          </cell>
          <cell r="Y255">
            <v>1.3764455752087734E-3</v>
          </cell>
          <cell r="Z255" t="str">
            <v/>
          </cell>
          <cell r="AA255">
            <v>8.4437166463575686E-3</v>
          </cell>
          <cell r="AB255" t="str">
            <v/>
          </cell>
          <cell r="AC255">
            <v>2.100413688258207E-2</v>
          </cell>
          <cell r="AD255">
            <v>4.099055430019416E-2</v>
          </cell>
          <cell r="AE255">
            <v>8.3899425720779131E-2</v>
          </cell>
        </row>
        <row r="256">
          <cell r="D256" t="str">
            <v>USD</v>
          </cell>
          <cell r="N256" t="str">
            <v/>
          </cell>
          <cell r="O256" t="str">
            <v/>
          </cell>
          <cell r="P256">
            <v>3.5737004768623848E-2</v>
          </cell>
          <cell r="Q256" t="str">
            <v/>
          </cell>
          <cell r="R256">
            <v>9.2153130352152779E-2</v>
          </cell>
          <cell r="S256" t="str">
            <v/>
          </cell>
          <cell r="T256">
            <v>0.1232664209877139</v>
          </cell>
          <cell r="U256">
            <v>0.161666920014372</v>
          </cell>
          <cell r="V256">
            <v>0.20808698150809002</v>
          </cell>
          <cell r="W256" t="str">
            <v/>
          </cell>
          <cell r="X256" t="str">
            <v/>
          </cell>
          <cell r="Y256">
            <v>3.7480760981361549E-2</v>
          </cell>
          <cell r="Z256" t="str">
            <v/>
          </cell>
          <cell r="AA256">
            <v>9.6523906593006914E-2</v>
          </cell>
          <cell r="AB256" t="str">
            <v/>
          </cell>
          <cell r="AC256">
            <v>0.12893769714950221</v>
          </cell>
          <cell r="AD256">
            <v>0.16894490724548061</v>
          </cell>
          <cell r="AE256">
            <v>0.2171230416822475</v>
          </cell>
        </row>
        <row r="257">
          <cell r="D257" t="str">
            <v>USD</v>
          </cell>
          <cell r="N257" t="str">
            <v/>
          </cell>
          <cell r="O257" t="str">
            <v/>
          </cell>
          <cell r="P257">
            <v>2.3351148245822628E-3</v>
          </cell>
          <cell r="Q257" t="str">
            <v/>
          </cell>
          <cell r="R257">
            <v>1.2991153641574993E-2</v>
          </cell>
          <cell r="S257" t="str">
            <v/>
          </cell>
          <cell r="T257">
            <v>2.8475817968110051E-2</v>
          </cell>
          <cell r="U257">
            <v>4.0577434092570308E-2</v>
          </cell>
          <cell r="V257">
            <v>5.8965233929088701E-2</v>
          </cell>
          <cell r="W257" t="str">
            <v/>
          </cell>
          <cell r="X257" t="str">
            <v/>
          </cell>
          <cell r="Y257">
            <v>2.5013784497766034E-3</v>
          </cell>
          <cell r="Z257" t="str">
            <v/>
          </cell>
          <cell r="AA257">
            <v>1.361622573326926E-2</v>
          </cell>
          <cell r="AB257" t="str">
            <v/>
          </cell>
          <cell r="AC257">
            <v>2.987827833599066E-2</v>
          </cell>
          <cell r="AD257">
            <v>4.2564985114995846E-2</v>
          </cell>
          <cell r="AE257">
            <v>6.1821791590287778E-2</v>
          </cell>
        </row>
        <row r="258">
          <cell r="D258" t="str">
            <v>USD</v>
          </cell>
          <cell r="N258" t="str">
            <v/>
          </cell>
          <cell r="O258" t="str">
            <v/>
          </cell>
          <cell r="P258">
            <v>4.9456870178985479E-3</v>
          </cell>
          <cell r="Q258" t="str">
            <v/>
          </cell>
          <cell r="R258">
            <v>2.2325657964697543E-2</v>
          </cell>
          <cell r="S258" t="str">
            <v/>
          </cell>
          <cell r="T258">
            <v>6.0539965011224273E-2</v>
          </cell>
          <cell r="U258">
            <v>0.10111383297728826</v>
          </cell>
          <cell r="V258">
            <v>0.17123825323779607</v>
          </cell>
          <cell r="W258" t="str">
            <v/>
          </cell>
          <cell r="X258" t="str">
            <v/>
          </cell>
          <cell r="Y258">
            <v>5.1816527497575704E-3</v>
          </cell>
          <cell r="Z258" t="str">
            <v/>
          </cell>
          <cell r="AA258">
            <v>2.3428553006568431E-2</v>
          </cell>
          <cell r="AB258" t="str">
            <v/>
          </cell>
          <cell r="AC258">
            <v>6.3481483981889575E-2</v>
          </cell>
          <cell r="AD258">
            <v>0.10594786228135677</v>
          </cell>
          <cell r="AE258">
            <v>0.17920223390292656</v>
          </cell>
        </row>
        <row r="259">
          <cell r="D259" t="str">
            <v>USD</v>
          </cell>
          <cell r="N259" t="str">
            <v/>
          </cell>
          <cell r="O259" t="str">
            <v/>
          </cell>
          <cell r="P259">
            <v>2.0517795569404695E-3</v>
          </cell>
          <cell r="Q259" t="str">
            <v/>
          </cell>
          <cell r="R259">
            <v>1.3110720763673589E-2</v>
          </cell>
          <cell r="S259" t="str">
            <v/>
          </cell>
          <cell r="T259">
            <v>3.9687977415613029E-2</v>
          </cell>
          <cell r="U259">
            <v>6.8145816198330267E-2</v>
          </cell>
          <cell r="V259">
            <v>0.11286053657585082</v>
          </cell>
          <cell r="W259" t="str">
            <v/>
          </cell>
          <cell r="X259" t="str">
            <v/>
          </cell>
          <cell r="Y259">
            <v>2.2180904007174096E-3</v>
          </cell>
          <cell r="Z259" t="str">
            <v/>
          </cell>
          <cell r="AA259">
            <v>1.3740401877812447E-2</v>
          </cell>
          <cell r="AB259" t="str">
            <v/>
          </cell>
          <cell r="AC259">
            <v>4.1633948907216056E-2</v>
          </cell>
          <cell r="AD259">
            <v>7.1453703819798209E-2</v>
          </cell>
          <cell r="AE259">
            <v>0.11824389445261552</v>
          </cell>
        </row>
        <row r="260">
          <cell r="D260" t="str">
            <v>USD</v>
          </cell>
          <cell r="N260" t="str">
            <v/>
          </cell>
          <cell r="O260" t="str">
            <v/>
          </cell>
          <cell r="P260">
            <v>1.0046590261097998E-3</v>
          </cell>
          <cell r="Q260" t="str">
            <v/>
          </cell>
          <cell r="R260">
            <v>5.9170258498700834E-3</v>
          </cell>
          <cell r="S260" t="str">
            <v/>
          </cell>
          <cell r="T260">
            <v>1.7220513189955544E-2</v>
          </cell>
          <cell r="U260">
            <v>3.1637072038113279E-2</v>
          </cell>
          <cell r="V260">
            <v>5.9647563736833997E-2</v>
          </cell>
          <cell r="W260" t="str">
            <v/>
          </cell>
          <cell r="X260" t="str">
            <v/>
          </cell>
          <cell r="Y260">
            <v>1.1711443754235384E-3</v>
          </cell>
          <cell r="Z260" t="str">
            <v/>
          </cell>
          <cell r="AA260">
            <v>6.4139430973210176E-3</v>
          </cell>
          <cell r="AB260" t="str">
            <v/>
          </cell>
          <cell r="AC260">
            <v>1.8039154947515512E-2</v>
          </cell>
          <cell r="AD260">
            <v>3.3168158864546715E-2</v>
          </cell>
          <cell r="AE260">
            <v>6.252188821928395E-2</v>
          </cell>
        </row>
        <row r="261">
          <cell r="D261" t="str">
            <v>USD</v>
          </cell>
          <cell r="N261" t="str">
            <v/>
          </cell>
          <cell r="O261" t="str">
            <v/>
          </cell>
          <cell r="P261">
            <v>4.4324398858736069E-3</v>
          </cell>
          <cell r="Q261" t="str">
            <v/>
          </cell>
          <cell r="R261">
            <v>1.9654610719653909E-2</v>
          </cell>
          <cell r="S261" t="str">
            <v/>
          </cell>
          <cell r="T261">
            <v>4.2155518817052151E-2</v>
          </cell>
          <cell r="U261">
            <v>6.5616755678902794E-2</v>
          </cell>
          <cell r="V261">
            <v>0.10652739475932282</v>
          </cell>
          <cell r="W261" t="str">
            <v/>
          </cell>
          <cell r="X261" t="str">
            <v/>
          </cell>
          <cell r="Y261">
            <v>4.6439755159600749E-3</v>
          </cell>
          <cell r="Z261" t="str">
            <v/>
          </cell>
          <cell r="AA261">
            <v>2.0627080720485136E-2</v>
          </cell>
          <cell r="AB261" t="str">
            <v/>
          </cell>
          <cell r="AC261">
            <v>4.4220515244822289E-2</v>
          </cell>
          <cell r="AD261">
            <v>6.879783924562155E-2</v>
          </cell>
          <cell r="AE261">
            <v>0.11160572954652437</v>
          </cell>
        </row>
        <row r="262">
          <cell r="D262" t="str">
            <v>USD</v>
          </cell>
          <cell r="N262" t="str">
            <v/>
          </cell>
          <cell r="O262" t="str">
            <v/>
          </cell>
          <cell r="P262">
            <v>4.2907963039173436E-2</v>
          </cell>
          <cell r="Q262" t="str">
            <v/>
          </cell>
          <cell r="R262">
            <v>0.11966122072014296</v>
          </cell>
          <cell r="S262" t="str">
            <v/>
          </cell>
          <cell r="T262">
            <v>0.17192730175758208</v>
          </cell>
          <cell r="U262">
            <v>0.22177373541730627</v>
          </cell>
          <cell r="V262">
            <v>0.28702115262479821</v>
          </cell>
          <cell r="W262" t="str">
            <v/>
          </cell>
          <cell r="X262" t="str">
            <v/>
          </cell>
          <cell r="Y262">
            <v>4.4989935837374873E-2</v>
          </cell>
          <cell r="Z262" t="str">
            <v/>
          </cell>
          <cell r="AA262">
            <v>0.12525415946705454</v>
          </cell>
          <cell r="AB262" t="str">
            <v/>
          </cell>
          <cell r="AC262">
            <v>0.17964114581480262</v>
          </cell>
          <cell r="AD262">
            <v>0.23135986486717053</v>
          </cell>
          <cell r="AE262">
            <v>0.29877603176151968</v>
          </cell>
        </row>
        <row r="263">
          <cell r="D263" t="str">
            <v>USD</v>
          </cell>
          <cell r="N263" t="str">
            <v/>
          </cell>
          <cell r="O263" t="str">
            <v/>
          </cell>
          <cell r="P263">
            <v>7.6878032297238441E-3</v>
          </cell>
          <cell r="Q263" t="str">
            <v/>
          </cell>
          <cell r="R263">
            <v>3.9775840101949678E-2</v>
          </cell>
          <cell r="S263" t="str">
            <v/>
          </cell>
          <cell r="T263">
            <v>0.10359662085942267</v>
          </cell>
          <cell r="U263">
            <v>0.16737765818506556</v>
          </cell>
          <cell r="V263">
            <v>0.27906436054773065</v>
          </cell>
          <cell r="W263" t="str">
            <v/>
          </cell>
          <cell r="X263" t="str">
            <v/>
          </cell>
          <cell r="Y263">
            <v>8.0540642058828382E-3</v>
          </cell>
          <cell r="Z263" t="str">
            <v/>
          </cell>
          <cell r="AA263">
            <v>4.1720198012267784E-2</v>
          </cell>
          <cell r="AB263" t="str">
            <v/>
          </cell>
          <cell r="AC263">
            <v>0.10856883047373611</v>
          </cell>
          <cell r="AD263">
            <v>0.17516688251439805</v>
          </cell>
          <cell r="AE263">
            <v>0.29134795141073033</v>
          </cell>
        </row>
        <row r="264">
          <cell r="D264" t="str">
            <v>EUR</v>
          </cell>
          <cell r="N264" t="str">
            <v/>
          </cell>
          <cell r="O264">
            <v>2.0003388636156139E-3</v>
          </cell>
          <cell r="P264">
            <v>5.0557493205841686E-3</v>
          </cell>
          <cell r="Q264">
            <v>1.6478282126811572E-2</v>
          </cell>
          <cell r="R264">
            <v>3.5382407368177549E-2</v>
          </cell>
          <cell r="S264">
            <v>6.6268746393113309E-2</v>
          </cell>
          <cell r="T264">
            <v>0.10175851452983742</v>
          </cell>
          <cell r="U264">
            <v>0.17503141435887093</v>
          </cell>
          <cell r="V264">
            <v>0.27503174799680108</v>
          </cell>
          <cell r="W264" t="str">
            <v/>
          </cell>
          <cell r="X264">
            <v>2.0918179730214925E-3</v>
          </cell>
          <cell r="Y264">
            <v>5.2961651297561696E-3</v>
          </cell>
          <cell r="Z264">
            <v>1.729679624977698E-2</v>
          </cell>
          <cell r="AA264">
            <v>3.7126884083906075E-2</v>
          </cell>
          <cell r="AB264">
            <v>6.9501228435110862E-2</v>
          </cell>
          <cell r="AC264">
            <v>0.10665773816160795</v>
          </cell>
          <cell r="AD264">
            <v>0.18319960223110676</v>
          </cell>
          <cell r="AE264">
            <v>0.28715190948501623</v>
          </cell>
        </row>
        <row r="265">
          <cell r="D265" t="str">
            <v>EUR</v>
          </cell>
          <cell r="N265" t="str">
            <v/>
          </cell>
          <cell r="O265">
            <v>4.9028053432799146E-3</v>
          </cell>
          <cell r="P265">
            <v>9.3628090256328012E-3</v>
          </cell>
          <cell r="Q265">
            <v>2.7601327562253308E-2</v>
          </cell>
          <cell r="R265">
            <v>4.9555044894668443E-2</v>
          </cell>
          <cell r="S265" t="str">
            <v/>
          </cell>
          <cell r="T265">
            <v>0.10339349989408952</v>
          </cell>
          <cell r="U265">
            <v>0.16811682071746969</v>
          </cell>
          <cell r="V265">
            <v>0.2485927527379036</v>
          </cell>
          <cell r="W265" t="str">
            <v/>
          </cell>
          <cell r="X265">
            <v>5.147254376008159E-3</v>
          </cell>
          <cell r="Y265">
            <v>9.8285965881006465E-3</v>
          </cell>
          <cell r="Z265">
            <v>2.8963130634478307E-2</v>
          </cell>
          <cell r="AA265">
            <v>5.1977266667548983E-2</v>
          </cell>
          <cell r="AB265" t="str">
            <v/>
          </cell>
          <cell r="AC265">
            <v>0.10833078066209911</v>
          </cell>
          <cell r="AD265">
            <v>0.17590825824641798</v>
          </cell>
          <cell r="AE265">
            <v>0.25955014236988627</v>
          </cell>
        </row>
        <row r="266">
          <cell r="D266" t="str">
            <v>USD</v>
          </cell>
          <cell r="N266" t="str">
            <v/>
          </cell>
          <cell r="O266" t="str">
            <v/>
          </cell>
          <cell r="P266">
            <v>6.5236651938989088E-3</v>
          </cell>
          <cell r="Q266" t="str">
            <v/>
          </cell>
          <cell r="R266">
            <v>4.114060857184143E-2</v>
          </cell>
          <cell r="S266" t="str">
            <v/>
          </cell>
          <cell r="T266">
            <v>0.10481866171578369</v>
          </cell>
          <cell r="U266">
            <v>0.16168646119100782</v>
          </cell>
          <cell r="V266">
            <v>0.25951173288988294</v>
          </cell>
          <cell r="W266" t="str">
            <v/>
          </cell>
          <cell r="X266" t="str">
            <v/>
          </cell>
          <cell r="Y266">
            <v>6.834657390599963E-3</v>
          </cell>
          <cell r="Z266" t="str">
            <v/>
          </cell>
          <cell r="AA266">
            <v>4.3150292669675405E-2</v>
          </cell>
          <cell r="AB266" t="str">
            <v/>
          </cell>
          <cell r="AC266">
            <v>0.10984720401509462</v>
          </cell>
          <cell r="AD266">
            <v>0.16921301886020368</v>
          </cell>
          <cell r="AE266">
            <v>0.2709876837477937</v>
          </cell>
        </row>
        <row r="267">
          <cell r="D267" t="str">
            <v>USD</v>
          </cell>
          <cell r="N267" t="str">
            <v/>
          </cell>
          <cell r="O267" t="str">
            <v/>
          </cell>
          <cell r="P267">
            <v>4.7705882440045588E-3</v>
          </cell>
          <cell r="Q267" t="str">
            <v/>
          </cell>
          <cell r="R267">
            <v>2.5656067613036071E-2</v>
          </cell>
          <cell r="S267" t="str">
            <v/>
          </cell>
          <cell r="T267">
            <v>6.4160093086633285E-2</v>
          </cell>
          <cell r="U267">
            <v>0.10250219905241031</v>
          </cell>
          <cell r="V267">
            <v>0.16210995998684197</v>
          </cell>
          <cell r="W267" t="str">
            <v/>
          </cell>
          <cell r="X267" t="str">
            <v/>
          </cell>
          <cell r="Y267">
            <v>4.998220935480191E-3</v>
          </cell>
          <cell r="Z267" t="str">
            <v/>
          </cell>
          <cell r="AA267">
            <v>2.6921099085368438E-2</v>
          </cell>
          <cell r="AB267" t="str">
            <v/>
          </cell>
          <cell r="AC267">
            <v>6.727128972641705E-2</v>
          </cell>
          <cell r="AD267">
            <v>0.10739298167398414</v>
          </cell>
          <cell r="AE267">
            <v>0.1696430194014783</v>
          </cell>
        </row>
        <row r="268">
          <cell r="D268" t="str">
            <v>USD</v>
          </cell>
          <cell r="N268" t="str">
            <v/>
          </cell>
          <cell r="O268" t="str">
            <v/>
          </cell>
          <cell r="P268">
            <v>2.2325671032447092E-3</v>
          </cell>
          <cell r="Q268" t="str">
            <v/>
          </cell>
          <cell r="R268">
            <v>2.1586761926472464E-2</v>
          </cell>
          <cell r="S268" t="str">
            <v/>
          </cell>
          <cell r="T268">
            <v>5.0362178193736784E-2</v>
          </cell>
          <cell r="U268">
            <v>9.2145043757653977E-2</v>
          </cell>
          <cell r="V268">
            <v>0.16436083170744142</v>
          </cell>
          <cell r="W268" t="str">
            <v/>
          </cell>
          <cell r="X268" t="str">
            <v/>
          </cell>
          <cell r="Y268">
            <v>2.3988478182942474E-3</v>
          </cell>
          <cell r="Z268" t="str">
            <v/>
          </cell>
          <cell r="AA268">
            <v>2.2649096927830348E-2</v>
          </cell>
          <cell r="AB268" t="str">
            <v/>
          </cell>
          <cell r="AC268">
            <v>5.2816944291123935E-2</v>
          </cell>
          <cell r="AD268">
            <v>9.656614620269488E-2</v>
          </cell>
          <cell r="AE268">
            <v>0.17205252570010909</v>
          </cell>
        </row>
        <row r="269">
          <cell r="D269" t="str">
            <v>EUR</v>
          </cell>
          <cell r="N269" t="str">
            <v/>
          </cell>
          <cell r="O269">
            <v>6.3690485549472431E-4</v>
          </cell>
          <cell r="P269">
            <v>2.4516736389891269E-3</v>
          </cell>
          <cell r="Q269">
            <v>8.6260935930545513E-3</v>
          </cell>
          <cell r="R269">
            <v>1.8592082683634992E-2</v>
          </cell>
          <cell r="S269" t="str">
            <v/>
          </cell>
          <cell r="T269">
            <v>4.809405868603589E-2</v>
          </cell>
          <cell r="U269">
            <v>8.3659137962235341E-2</v>
          </cell>
          <cell r="V269">
            <v>0.14509939247422043</v>
          </cell>
          <cell r="W269" t="str">
            <v/>
          </cell>
          <cell r="X269">
            <v>7.2018164349907376E-4</v>
          </cell>
          <cell r="Y269">
            <v>2.617917839319861E-3</v>
          </cell>
          <cell r="Z269">
            <v>9.0390800092465806E-3</v>
          </cell>
          <cell r="AA269">
            <v>1.9512503821599969E-2</v>
          </cell>
          <cell r="AB269" t="str">
            <v/>
          </cell>
          <cell r="AC269">
            <v>5.0445165824277827E-2</v>
          </cell>
          <cell r="AD269">
            <v>8.7693069362573706E-2</v>
          </cell>
          <cell r="AE269">
            <v>0.15193509632039537</v>
          </cell>
        </row>
        <row r="270">
          <cell r="D270" t="str">
            <v>USD</v>
          </cell>
          <cell r="N270" t="str">
            <v/>
          </cell>
          <cell r="O270" t="str">
            <v/>
          </cell>
          <cell r="P270">
            <v>4.9959572638563765E-3</v>
          </cell>
          <cell r="Q270" t="str">
            <v/>
          </cell>
          <cell r="R270">
            <v>5.7373010232402044E-2</v>
          </cell>
          <cell r="S270" t="str">
            <v/>
          </cell>
          <cell r="T270">
            <v>9.420491261924846E-2</v>
          </cell>
          <cell r="U270">
            <v>0.12188336674348932</v>
          </cell>
          <cell r="V270">
            <v>0.16325852889602732</v>
          </cell>
          <cell r="W270" t="str">
            <v/>
          </cell>
          <cell r="X270" t="str">
            <v/>
          </cell>
          <cell r="Y270">
            <v>5.2343150946835282E-3</v>
          </cell>
          <cell r="Z270" t="str">
            <v/>
          </cell>
          <cell r="AA270">
            <v>6.0177931693889186E-2</v>
          </cell>
          <cell r="AB270" t="str">
            <v/>
          </cell>
          <cell r="AC270">
            <v>9.8684434185102643E-2</v>
          </cell>
          <cell r="AD270">
            <v>0.12757048608550803</v>
          </cell>
          <cell r="AE270">
            <v>0.1706503712421249</v>
          </cell>
        </row>
        <row r="271">
          <cell r="D271" t="str">
            <v>USD</v>
          </cell>
          <cell r="N271" t="str">
            <v/>
          </cell>
          <cell r="O271" t="str">
            <v/>
          </cell>
          <cell r="P271">
            <v>3.4138392266730433E-3</v>
          </cell>
          <cell r="Q271" t="str">
            <v/>
          </cell>
          <cell r="R271">
            <v>2.2093846057268385E-2</v>
          </cell>
          <cell r="S271" t="str">
            <v/>
          </cell>
          <cell r="T271">
            <v>6.1215338118948193E-2</v>
          </cell>
          <cell r="U271">
            <v>9.4720946221699132E-2</v>
          </cell>
          <cell r="V271">
            <v>0.15335564052563411</v>
          </cell>
          <cell r="W271" t="str">
            <v/>
          </cell>
          <cell r="X271" t="str">
            <v/>
          </cell>
          <cell r="Y271">
            <v>3.5799230794156811E-3</v>
          </cell>
          <cell r="Z271" t="str">
            <v/>
          </cell>
          <cell r="AA271">
            <v>2.3185345352790376E-2</v>
          </cell>
          <cell r="AB271" t="str">
            <v/>
          </cell>
          <cell r="AC271">
            <v>6.419004800340522E-2</v>
          </cell>
          <cell r="AD271">
            <v>9.9259870973754993E-2</v>
          </cell>
          <cell r="AE271">
            <v>0.16052077595484127</v>
          </cell>
        </row>
        <row r="272">
          <cell r="D272" t="str">
            <v>USD</v>
          </cell>
          <cell r="N272" t="str">
            <v/>
          </cell>
          <cell r="O272" t="str">
            <v/>
          </cell>
          <cell r="P272">
            <v>3.4780745316533856E-3</v>
          </cell>
          <cell r="Q272" t="str">
            <v/>
          </cell>
          <cell r="R272">
            <v>1.7887276892422976E-2</v>
          </cell>
          <cell r="S272" t="str">
            <v/>
          </cell>
          <cell r="T272">
            <v>4.2711142016253478E-2</v>
          </cell>
          <cell r="U272">
            <v>8.1938251170082577E-2</v>
          </cell>
          <cell r="V272">
            <v>0.14896866193720026</v>
          </cell>
          <cell r="W272" t="str">
            <v/>
          </cell>
          <cell r="X272" t="str">
            <v/>
          </cell>
          <cell r="Y272">
            <v>3.6441476794308869E-3</v>
          </cell>
          <cell r="Z272" t="str">
            <v/>
          </cell>
          <cell r="AA272">
            <v>1.8773259438974232E-2</v>
          </cell>
          <cell r="AB272" t="str">
            <v/>
          </cell>
          <cell r="AC272">
            <v>4.480417988286256E-2</v>
          </cell>
          <cell r="AD272">
            <v>8.5893716598362535E-2</v>
          </cell>
          <cell r="AE272">
            <v>0.15599936302747597</v>
          </cell>
        </row>
        <row r="273">
          <cell r="D273" t="str">
            <v>USD</v>
          </cell>
          <cell r="N273" t="str">
            <v/>
          </cell>
          <cell r="O273" t="str">
            <v/>
          </cell>
          <cell r="P273">
            <v>3.7922475547043089E-3</v>
          </cell>
          <cell r="Q273" t="str">
            <v/>
          </cell>
          <cell r="R273">
            <v>2.0347667227677668E-2</v>
          </cell>
          <cell r="S273" t="str">
            <v/>
          </cell>
          <cell r="T273">
            <v>4.682795985358823E-2</v>
          </cell>
          <cell r="U273">
            <v>7.1607853968425395E-2</v>
          </cell>
          <cell r="V273">
            <v>0.11771700010323582</v>
          </cell>
          <cell r="W273" t="str">
            <v/>
          </cell>
          <cell r="X273" t="str">
            <v/>
          </cell>
          <cell r="Y273">
            <v>3.9732918607967571E-3</v>
          </cell>
          <cell r="Z273" t="str">
            <v/>
          </cell>
          <cell r="AA273">
            <v>2.1354090867726327E-2</v>
          </cell>
          <cell r="AB273" t="str">
            <v/>
          </cell>
          <cell r="AC273">
            <v>4.911774578474537E-2</v>
          </cell>
          <cell r="AD273">
            <v>7.5070936310689396E-2</v>
          </cell>
          <cell r="AE273">
            <v>0.12330370864951845</v>
          </cell>
        </row>
        <row r="274">
          <cell r="D274" t="str">
            <v>EUR</v>
          </cell>
          <cell r="N274" t="str">
            <v/>
          </cell>
          <cell r="O274">
            <v>9.0974018358735975E-4</v>
          </cell>
          <cell r="P274">
            <v>2.7970014672076271E-3</v>
          </cell>
          <cell r="Q274">
            <v>8.2581943532946678E-3</v>
          </cell>
          <cell r="R274">
            <v>1.5947238663102103E-2</v>
          </cell>
          <cell r="S274" t="str">
            <v/>
          </cell>
          <cell r="T274">
            <v>4.477092933673843E-2</v>
          </cell>
          <cell r="U274">
            <v>7.5360539986676689E-2</v>
          </cell>
          <cell r="V274">
            <v>0.12109344447539128</v>
          </cell>
          <cell r="W274" t="str">
            <v/>
          </cell>
          <cell r="X274">
            <v>9.9299423627774441E-4</v>
          </cell>
          <cell r="Y274">
            <v>2.9631881176895858E-3</v>
          </cell>
          <cell r="Z274">
            <v>8.6548117467698527E-3</v>
          </cell>
          <cell r="AA274">
            <v>1.6737839472473315E-2</v>
          </cell>
          <cell r="AB274" t="str">
            <v/>
          </cell>
          <cell r="AC274">
            <v>4.6963705460402405E-2</v>
          </cell>
          <cell r="AD274">
            <v>7.9007991125429111E-2</v>
          </cell>
          <cell r="AE274">
            <v>0.12684009781984307</v>
          </cell>
        </row>
        <row r="275">
          <cell r="D275" t="str">
            <v>USD</v>
          </cell>
          <cell r="N275" t="str">
            <v/>
          </cell>
          <cell r="O275" t="str">
            <v/>
          </cell>
          <cell r="P275">
            <v>6.5115496751835256E-3</v>
          </cell>
          <cell r="Q275" t="str">
            <v/>
          </cell>
          <cell r="R275">
            <v>3.8084515825709597E-2</v>
          </cell>
          <cell r="S275" t="str">
            <v/>
          </cell>
          <cell r="T275">
            <v>0.12657911193037774</v>
          </cell>
          <cell r="U275">
            <v>0.19680021966510075</v>
          </cell>
          <cell r="V275">
            <v>0.29374338531930366</v>
          </cell>
          <cell r="W275" t="str">
            <v/>
          </cell>
          <cell r="X275" t="str">
            <v/>
          </cell>
          <cell r="Y275">
            <v>6.8358186109854779E-3</v>
          </cell>
          <cell r="Z275" t="str">
            <v/>
          </cell>
          <cell r="AA275">
            <v>3.994713709112141E-2</v>
          </cell>
          <cell r="AB275" t="str">
            <v/>
          </cell>
          <cell r="AC275">
            <v>0.13262843607503916</v>
          </cell>
          <cell r="AD275">
            <v>0.20585195848979787</v>
          </cell>
          <cell r="AE275">
            <v>0.30644460476896318</v>
          </cell>
        </row>
        <row r="276">
          <cell r="D276" t="str">
            <v>EUR</v>
          </cell>
          <cell r="N276" t="str">
            <v/>
          </cell>
          <cell r="O276">
            <v>1.6921298729330014E-2</v>
          </cell>
          <cell r="P276">
            <v>3.2135482130428605E-2</v>
          </cell>
          <cell r="Q276">
            <v>5.7104538934130145E-2</v>
          </cell>
          <cell r="R276">
            <v>8.0236384606258704E-2</v>
          </cell>
          <cell r="S276" t="str">
            <v/>
          </cell>
          <cell r="T276">
            <v>0.11751827836205064</v>
          </cell>
          <cell r="U276">
            <v>0.16084775526465922</v>
          </cell>
          <cell r="V276">
            <v>0.22198356514582462</v>
          </cell>
          <cell r="W276" t="str">
            <v/>
          </cell>
          <cell r="X276">
            <v>1.775879663604174E-2</v>
          </cell>
          <cell r="Y276">
            <v>3.3714132149227805E-2</v>
          </cell>
          <cell r="Z276">
            <v>5.9864546664976315E-2</v>
          </cell>
          <cell r="AA276">
            <v>8.4062019115649367E-2</v>
          </cell>
          <cell r="AB276" t="str">
            <v/>
          </cell>
          <cell r="AC276">
            <v>0.12296554695173179</v>
          </cell>
          <cell r="AD276">
            <v>0.1681583070990379</v>
          </cell>
          <cell r="AE276">
            <v>0.23164824051862998</v>
          </cell>
        </row>
        <row r="277">
          <cell r="D277" t="str">
            <v>EUR</v>
          </cell>
          <cell r="N277" t="str">
            <v/>
          </cell>
          <cell r="O277">
            <v>7.7968692927326E-3</v>
          </cell>
          <cell r="P277">
            <v>1.4869737486252088E-2</v>
          </cell>
          <cell r="Q277">
            <v>2.8985871656954876E-2</v>
          </cell>
          <cell r="R277">
            <v>4.4351590478119207E-2</v>
          </cell>
          <cell r="S277" t="str">
            <v/>
          </cell>
          <cell r="T277">
            <v>7.7795893655950632E-2</v>
          </cell>
          <cell r="U277">
            <v>0.10674625551589934</v>
          </cell>
          <cell r="V277">
            <v>0.14851969855926683</v>
          </cell>
          <cell r="W277" t="str">
            <v/>
          </cell>
          <cell r="X277">
            <v>8.1849471306780774E-3</v>
          </cell>
          <cell r="Y277">
            <v>1.5607268258654328E-2</v>
          </cell>
          <cell r="Z277">
            <v>3.0411909147507354E-2</v>
          </cell>
          <cell r="AA277">
            <v>4.6516844184765316E-2</v>
          </cell>
          <cell r="AB277" t="str">
            <v/>
          </cell>
          <cell r="AC277">
            <v>8.1519368524181512E-2</v>
          </cell>
          <cell r="AD277">
            <v>0.11177416492781311</v>
          </cell>
          <cell r="AE277">
            <v>0.15534848920462219</v>
          </cell>
        </row>
        <row r="278">
          <cell r="D278" t="str">
            <v>USD</v>
          </cell>
          <cell r="N278" t="str">
            <v/>
          </cell>
          <cell r="O278" t="str">
            <v/>
          </cell>
          <cell r="P278">
            <v>4.593724838084734E-3</v>
          </cell>
          <cell r="Q278" t="str">
            <v/>
          </cell>
          <cell r="R278">
            <v>2.0361441328594077E-2</v>
          </cell>
          <cell r="S278" t="str">
            <v/>
          </cell>
          <cell r="T278">
            <v>4.3654640106644771E-2</v>
          </cell>
          <cell r="U278">
            <v>6.7934158136783274E-2</v>
          </cell>
          <cell r="V278">
            <v>0.11020962728569583</v>
          </cell>
          <cell r="W278" t="str">
            <v/>
          </cell>
          <cell r="X278" t="str">
            <v/>
          </cell>
          <cell r="Y278">
            <v>4.8129389283677604E-3</v>
          </cell>
          <cell r="Z278" t="str">
            <v/>
          </cell>
          <cell r="AA278">
            <v>2.1368464063322046E-2</v>
          </cell>
          <cell r="AB278" t="str">
            <v/>
          </cell>
          <cell r="AC278">
            <v>4.5791423102570228E-2</v>
          </cell>
          <cell r="AD278">
            <v>7.1223820642675739E-2</v>
          </cell>
          <cell r="AE278">
            <v>0.11545431391870908</v>
          </cell>
        </row>
        <row r="279">
          <cell r="D279" t="str">
            <v>EUR</v>
          </cell>
          <cell r="N279" t="str">
            <v/>
          </cell>
          <cell r="O279">
            <v>1.091589126235637E-3</v>
          </cell>
          <cell r="P279">
            <v>2.9684668899444544E-3</v>
          </cell>
          <cell r="Q279">
            <v>9.639264859510388E-3</v>
          </cell>
          <cell r="R279">
            <v>1.7980368078696074E-2</v>
          </cell>
          <cell r="S279" t="str">
            <v/>
          </cell>
          <cell r="T279">
            <v>3.8332173058903574E-2</v>
          </cell>
          <cell r="U279">
            <v>6.1735106566651488E-2</v>
          </cell>
          <cell r="V279">
            <v>0.10487890499540853</v>
          </cell>
          <cell r="W279" t="str">
            <v/>
          </cell>
          <cell r="X279">
            <v>1.1748280254821886E-3</v>
          </cell>
          <cell r="Y279">
            <v>3.1346249652464131E-3</v>
          </cell>
          <cell r="Z279">
            <v>1.0101325380074133E-2</v>
          </cell>
          <cell r="AA279">
            <v>1.8871846988310681E-2</v>
          </cell>
          <cell r="AB279" t="str">
            <v/>
          </cell>
          <cell r="AC279">
            <v>4.021360636905269E-2</v>
          </cell>
          <cell r="AD279">
            <v>6.4735240209967682E-2</v>
          </cell>
          <cell r="AE279">
            <v>0.10989174721493034</v>
          </cell>
        </row>
        <row r="280">
          <cell r="D280" t="str">
            <v>EUR</v>
          </cell>
          <cell r="N280" t="str">
            <v/>
          </cell>
          <cell r="O280">
            <v>1.0006687817649684E-3</v>
          </cell>
          <cell r="P280">
            <v>2.6186876321401265E-3</v>
          </cell>
          <cell r="Q280">
            <v>6.5205503597596248E-3</v>
          </cell>
          <cell r="R280">
            <v>1.33911010642499E-2</v>
          </cell>
          <cell r="S280" t="str">
            <v/>
          </cell>
          <cell r="T280">
            <v>3.2662866552734204E-2</v>
          </cell>
          <cell r="U280">
            <v>5.6531715302251651E-2</v>
          </cell>
          <cell r="V280">
            <v>9.7599269559602964E-2</v>
          </cell>
          <cell r="W280" t="str">
            <v/>
          </cell>
          <cell r="X280">
            <v>1.0839152573786093E-3</v>
          </cell>
          <cell r="Y280">
            <v>2.78490399911413E-3</v>
          </cell>
          <cell r="Z280">
            <v>6.8516549891473044E-3</v>
          </cell>
          <cell r="AA280">
            <v>1.4054285805512934E-2</v>
          </cell>
          <cell r="AB280" t="str">
            <v/>
          </cell>
          <cell r="AC280">
            <v>3.4269334910502325E-2</v>
          </cell>
          <cell r="AD280">
            <v>5.9287947336480351E-2</v>
          </cell>
          <cell r="AE280">
            <v>0.10228649222826824</v>
          </cell>
        </row>
        <row r="281">
          <cell r="D281" t="str">
            <v>EUR</v>
          </cell>
          <cell r="N281" t="str">
            <v/>
          </cell>
          <cell r="O281">
            <v>1.0006687817649684E-3</v>
          </cell>
          <cell r="P281">
            <v>2.7947261130725209E-3</v>
          </cell>
          <cell r="Q281">
            <v>6.8627399723123483E-3</v>
          </cell>
          <cell r="R281">
            <v>1.4426279597449798E-2</v>
          </cell>
          <cell r="S281" t="str">
            <v/>
          </cell>
          <cell r="T281">
            <v>3.3446830042253239E-2</v>
          </cell>
          <cell r="U281">
            <v>5.5042694798059455E-2</v>
          </cell>
          <cell r="V281">
            <v>9.5689283925012969E-2</v>
          </cell>
          <cell r="W281" t="str">
            <v/>
          </cell>
          <cell r="X281">
            <v>1.0839152573786093E-3</v>
          </cell>
          <cell r="Y281">
            <v>2.9609131427482671E-3</v>
          </cell>
          <cell r="Z281">
            <v>7.1937305574995003E-3</v>
          </cell>
          <cell r="AA281">
            <v>1.5141808937246259E-2</v>
          </cell>
          <cell r="AB281" t="str">
            <v/>
          </cell>
          <cell r="AC281">
            <v>3.5092281328373387E-2</v>
          </cell>
          <cell r="AD281">
            <v>5.7727329848833109E-2</v>
          </cell>
          <cell r="AE281">
            <v>0.10028691265730771</v>
          </cell>
        </row>
        <row r="282">
          <cell r="D282" t="str">
            <v>USD</v>
          </cell>
          <cell r="N282" t="str">
            <v/>
          </cell>
          <cell r="O282" t="str">
            <v/>
          </cell>
          <cell r="P282">
            <v>1.6257573478757337E-3</v>
          </cell>
          <cell r="Q282" t="str">
            <v/>
          </cell>
          <cell r="R282">
            <v>1.1647968571919742E-2</v>
          </cell>
          <cell r="S282" t="str">
            <v/>
          </cell>
          <cell r="T282">
            <v>3.066092984490687E-2</v>
          </cell>
          <cell r="U282">
            <v>5.4262706079094447E-2</v>
          </cell>
          <cell r="V282">
            <v>9.241656925459274E-2</v>
          </cell>
          <cell r="W282" t="str">
            <v/>
          </cell>
          <cell r="X282" t="str">
            <v/>
          </cell>
          <cell r="Y282">
            <v>1.7921391894559768E-3</v>
          </cell>
          <cell r="Z282" t="str">
            <v/>
          </cell>
          <cell r="AA282">
            <v>1.220721753934606E-2</v>
          </cell>
          <cell r="AB282" t="str">
            <v/>
          </cell>
          <cell r="AC282">
            <v>3.2167603911811726E-2</v>
          </cell>
          <cell r="AD282">
            <v>5.6909154855963373E-2</v>
          </cell>
          <cell r="AE282">
            <v>9.6838032001359986E-2</v>
          </cell>
        </row>
        <row r="283">
          <cell r="D283" t="str">
            <v>EUR</v>
          </cell>
          <cell r="N283" t="str">
            <v/>
          </cell>
          <cell r="O283">
            <v>7.2785822158416558E-4</v>
          </cell>
          <cell r="P283">
            <v>1.744960105844795E-3</v>
          </cell>
          <cell r="Q283">
            <v>6.5586206526362378E-3</v>
          </cell>
          <cell r="R283">
            <v>1.2370859980084248E-2</v>
          </cell>
          <cell r="S283" t="str">
            <v/>
          </cell>
          <cell r="T283">
            <v>3.2783329141084838E-2</v>
          </cell>
          <cell r="U283">
            <v>5.4076735890140726E-2</v>
          </cell>
          <cell r="V283">
            <v>9.2429670483917259E-2</v>
          </cell>
          <cell r="W283" t="str">
            <v/>
          </cell>
          <cell r="X283">
            <v>8.1112743046984903E-4</v>
          </cell>
          <cell r="Y283">
            <v>1.9113220819424459E-3</v>
          </cell>
          <cell r="Z283">
            <v>6.8897125940247106E-3</v>
          </cell>
          <cell r="AA283">
            <v>1.2963259726413878E-2</v>
          </cell>
          <cell r="AB283" t="str">
            <v/>
          </cell>
          <cell r="AC283">
            <v>3.4395508550795983E-2</v>
          </cell>
          <cell r="AD283">
            <v>5.6715328089780859E-2</v>
          </cell>
          <cell r="AE283">
            <v>9.6852402932293691E-2</v>
          </cell>
        </row>
        <row r="284">
          <cell r="D284" t="str">
            <v>USD</v>
          </cell>
          <cell r="N284">
            <v>3.6550255007605781E-4</v>
          </cell>
          <cell r="O284">
            <v>6.8239077215204169E-4</v>
          </cell>
          <cell r="P284">
            <v>1.7020487620984515E-3</v>
          </cell>
          <cell r="Q284">
            <v>4.1195084281823169E-3</v>
          </cell>
          <cell r="R284">
            <v>8.9119589537577371E-3</v>
          </cell>
          <cell r="S284">
            <v>1.44936577205933E-2</v>
          </cell>
          <cell r="T284">
            <v>2.1422650209496186E-2</v>
          </cell>
          <cell r="U284">
            <v>4.0396371633247052E-2</v>
          </cell>
          <cell r="V284">
            <v>7.1011494928382657E-2</v>
          </cell>
          <cell r="W284">
            <v>4.0204532991361397E-4</v>
          </cell>
          <cell r="X284">
            <v>7.4484617097292372E-4</v>
          </cell>
          <cell r="Y284">
            <v>1.8268282071220998E-3</v>
          </cell>
          <cell r="Z284">
            <v>4.3684474323992806E-3</v>
          </cell>
          <cell r="AA284">
            <v>9.3392735251309755E-3</v>
          </cell>
          <cell r="AB284">
            <v>1.521033796802318E-2</v>
          </cell>
          <cell r="AC284">
            <v>2.2480990043793225E-2</v>
          </cell>
          <cell r="AD284">
            <v>4.2378784488215859E-2</v>
          </cell>
          <cell r="AE284">
            <v>7.4446676607047513E-2</v>
          </cell>
        </row>
        <row r="285">
          <cell r="D285" t="str">
            <v>USD</v>
          </cell>
          <cell r="N285" t="str">
            <v/>
          </cell>
          <cell r="O285" t="str">
            <v/>
          </cell>
          <cell r="P285">
            <v>1.5127007615369781E-3</v>
          </cell>
          <cell r="Q285" t="str">
            <v/>
          </cell>
          <cell r="R285">
            <v>1.1687463341525706E-2</v>
          </cell>
          <cell r="S285" t="str">
            <v/>
          </cell>
          <cell r="T285">
            <v>2.7981858636325851E-2</v>
          </cell>
          <cell r="U285">
            <v>5.137641741026433E-2</v>
          </cell>
          <cell r="V285">
            <v>9.1516047332793393E-2</v>
          </cell>
          <cell r="W285" t="str">
            <v/>
          </cell>
          <cell r="X285" t="str">
            <v/>
          </cell>
          <cell r="Y285">
            <v>1.6791014442941732E-3</v>
          </cell>
          <cell r="Z285" t="str">
            <v/>
          </cell>
          <cell r="AA285">
            <v>1.2248171590085621E-2</v>
          </cell>
          <cell r="AB285" t="str">
            <v/>
          </cell>
          <cell r="AC285">
            <v>2.9357506965901337E-2</v>
          </cell>
          <cell r="AD285">
            <v>5.3884303073263085E-2</v>
          </cell>
          <cell r="AE285">
            <v>9.592600543151375E-2</v>
          </cell>
        </row>
        <row r="286">
          <cell r="D286" t="str">
            <v>EUR</v>
          </cell>
          <cell r="N286" t="str">
            <v/>
          </cell>
          <cell r="O286">
            <v>5.4594323121426314E-4</v>
          </cell>
          <cell r="P286">
            <v>1.3970708096262552E-3</v>
          </cell>
          <cell r="Q286">
            <v>4.4826336485552787E-3</v>
          </cell>
          <cell r="R286">
            <v>9.8368925804999119E-3</v>
          </cell>
          <cell r="S286" t="str">
            <v/>
          </cell>
          <cell r="T286">
            <v>2.6868695804797782E-2</v>
          </cell>
          <cell r="U286">
            <v>4.8608536359821319E-2</v>
          </cell>
          <cell r="V286">
            <v>8.6735451740949765E-2</v>
          </cell>
          <cell r="W286" t="str">
            <v/>
          </cell>
          <cell r="X286">
            <v>6.2922759904748826E-4</v>
          </cell>
          <cell r="Y286">
            <v>1.5634907624471062E-3</v>
          </cell>
          <cell r="Z286">
            <v>4.8144174702994258E-3</v>
          </cell>
          <cell r="AA286">
            <v>1.0331850384464603E-2</v>
          </cell>
          <cell r="AB286" t="str">
            <v/>
          </cell>
          <cell r="AC286">
            <v>2.8184899172631117E-2</v>
          </cell>
          <cell r="AD286">
            <v>5.0979375149059147E-2</v>
          </cell>
          <cell r="AE286">
            <v>9.0894971412324055E-2</v>
          </cell>
        </row>
        <row r="287">
          <cell r="D287" t="str">
            <v>EUR</v>
          </cell>
          <cell r="N287" t="str">
            <v/>
          </cell>
          <cell r="O287">
            <v>4.5497334759936336E-4</v>
          </cell>
          <cell r="P287">
            <v>1.22308070448085E-3</v>
          </cell>
          <cell r="Q287">
            <v>4.4909926693761371E-3</v>
          </cell>
          <cell r="R287">
            <v>8.7842062050439429E-3</v>
          </cell>
          <cell r="S287" t="str">
            <v/>
          </cell>
          <cell r="T287">
            <v>2.5170788196888894E-2</v>
          </cell>
          <cell r="U287">
            <v>4.7591449245198869E-2</v>
          </cell>
          <cell r="V287">
            <v>8.5290388882915735E-2</v>
          </cell>
          <cell r="W287" t="str">
            <v/>
          </cell>
          <cell r="X287">
            <v>5.3826529594969141E-4</v>
          </cell>
          <cell r="Y287">
            <v>1.3895296532399071E-3</v>
          </cell>
          <cell r="Z287">
            <v>4.8227737052365383E-3</v>
          </cell>
          <cell r="AA287">
            <v>9.2796902206341292E-3</v>
          </cell>
          <cell r="AB287" t="str">
            <v/>
          </cell>
          <cell r="AC287">
            <v>2.6399726099024634E-2</v>
          </cell>
          <cell r="AD287">
            <v>4.9909835663019875E-2</v>
          </cell>
          <cell r="AE287">
            <v>8.9380731886426701E-2</v>
          </cell>
        </row>
        <row r="288">
          <cell r="D288" t="str">
            <v>EUR</v>
          </cell>
          <cell r="N288" t="str">
            <v/>
          </cell>
          <cell r="O288">
            <v>6.3690485549472431E-4</v>
          </cell>
          <cell r="P288">
            <v>1.3948581478229194E-3</v>
          </cell>
          <cell r="Q288">
            <v>4.4803848348143882E-3</v>
          </cell>
          <cell r="R288">
            <v>1.0365032606175939E-2</v>
          </cell>
          <cell r="S288" t="str">
            <v/>
          </cell>
          <cell r="T288">
            <v>2.8610388966135769E-2</v>
          </cell>
          <cell r="U288">
            <v>4.8377129495374982E-2</v>
          </cell>
          <cell r="V288">
            <v>8.4594441190191216E-2</v>
          </cell>
          <cell r="W288" t="str">
            <v/>
          </cell>
          <cell r="X288">
            <v>7.2018164349907376E-4</v>
          </cell>
          <cell r="Y288">
            <v>1.5612784693798121E-3</v>
          </cell>
          <cell r="Z288">
            <v>4.812169406048783E-3</v>
          </cell>
          <cell r="AA288">
            <v>1.0859726406114656E-2</v>
          </cell>
          <cell r="AB288" t="str">
            <v/>
          </cell>
          <cell r="AC288">
            <v>3.0013721983514818E-2</v>
          </cell>
          <cell r="AD288">
            <v>5.0738017597179663E-2</v>
          </cell>
          <cell r="AE288">
            <v>8.8654204452493501E-2</v>
          </cell>
        </row>
        <row r="289">
          <cell r="D289" t="str">
            <v>USD</v>
          </cell>
          <cell r="N289" t="str">
            <v/>
          </cell>
          <cell r="O289" t="str">
            <v/>
          </cell>
          <cell r="P289">
            <v>9.5766960767240672E-4</v>
          </cell>
          <cell r="Q289" t="str">
            <v/>
          </cell>
          <cell r="R289">
            <v>8.7754809770623776E-3</v>
          </cell>
          <cell r="S289" t="str">
            <v/>
          </cell>
          <cell r="T289">
            <v>2.3862927715873505E-2</v>
          </cell>
          <cell r="U289">
            <v>4.7961659086694253E-2</v>
          </cell>
          <cell r="V289">
            <v>8.8027256894966599E-2</v>
          </cell>
          <cell r="W289" t="str">
            <v/>
          </cell>
          <cell r="X289" t="str">
            <v/>
          </cell>
          <cell r="Y289">
            <v>1.1241627879213789E-3</v>
          </cell>
          <cell r="Z289" t="str">
            <v/>
          </cell>
          <cell r="AA289">
            <v>9.2709693541190852E-3</v>
          </cell>
          <cell r="AB289" t="str">
            <v/>
          </cell>
          <cell r="AC289">
            <v>2.5027209567237807E-2</v>
          </cell>
          <cell r="AD289">
            <v>5.0297358776325685E-2</v>
          </cell>
          <cell r="AE289">
            <v>9.2271620107897467E-2</v>
          </cell>
        </row>
        <row r="290">
          <cell r="D290" t="str">
            <v>EUR</v>
          </cell>
          <cell r="N290" t="str">
            <v/>
          </cell>
          <cell r="O290">
            <v>6.3690485549472431E-4</v>
          </cell>
          <cell r="P290">
            <v>1.5710306083301928E-3</v>
          </cell>
          <cell r="Q290">
            <v>4.4742758268462302E-3</v>
          </cell>
          <cell r="R290">
            <v>9.2978809822560349E-3</v>
          </cell>
          <cell r="S290" t="str">
            <v/>
          </cell>
          <cell r="T290">
            <v>2.5114176488660989E-2</v>
          </cell>
          <cell r="U290">
            <v>4.3646006655868264E-2</v>
          </cell>
          <cell r="V290">
            <v>7.6213532312441767E-2</v>
          </cell>
          <cell r="W290" t="str">
            <v/>
          </cell>
          <cell r="X290">
            <v>7.2018164349907376E-4</v>
          </cell>
          <cell r="Y290">
            <v>1.7374215702635754E-3</v>
          </cell>
          <cell r="Z290">
            <v>4.806062434074998E-3</v>
          </cell>
          <cell r="AA290">
            <v>9.7931082246366374E-3</v>
          </cell>
          <cell r="AB290" t="str">
            <v/>
          </cell>
          <cell r="AC290">
            <v>2.634301941017192E-2</v>
          </cell>
          <cell r="AD290">
            <v>4.5775805220933607E-2</v>
          </cell>
          <cell r="AE290">
            <v>7.9881565756046213E-2</v>
          </cell>
        </row>
        <row r="291">
          <cell r="D291" t="str">
            <v>EUR</v>
          </cell>
          <cell r="N291" t="str">
            <v/>
          </cell>
          <cell r="O291">
            <v>5.4594323121426314E-4</v>
          </cell>
          <cell r="P291">
            <v>1.2208758015412879E-3</v>
          </cell>
          <cell r="Q291">
            <v>4.1396751096509643E-3</v>
          </cell>
          <cell r="R291">
            <v>9.3288988610895629E-3</v>
          </cell>
          <cell r="S291" t="str">
            <v/>
          </cell>
          <cell r="T291">
            <v>2.4253086792053069E-2</v>
          </cell>
          <cell r="U291">
            <v>4.2474741666260529E-2</v>
          </cell>
          <cell r="V291">
            <v>7.6521608597956869E-2</v>
          </cell>
          <cell r="W291" t="str">
            <v/>
          </cell>
          <cell r="X291">
            <v>6.2922759904748826E-4</v>
          </cell>
          <cell r="Y291">
            <v>1.3873251177468626E-3</v>
          </cell>
          <cell r="Z291">
            <v>4.471573231844661E-3</v>
          </cell>
          <cell r="AA291">
            <v>9.8241105984022692E-3</v>
          </cell>
          <cell r="AB291" t="str">
            <v/>
          </cell>
          <cell r="AC291">
            <v>2.5438335363284215E-2</v>
          </cell>
          <cell r="AD291">
            <v>4.4546570276533193E-2</v>
          </cell>
          <cell r="AE291">
            <v>8.0203523225932272E-2</v>
          </cell>
        </row>
        <row r="292">
          <cell r="D292" t="str">
            <v>USD</v>
          </cell>
          <cell r="N292" t="str">
            <v/>
          </cell>
          <cell r="O292" t="str">
            <v/>
          </cell>
          <cell r="P292">
            <v>5.2999145576424822E-2</v>
          </cell>
          <cell r="Q292" t="str">
            <v/>
          </cell>
          <cell r="R292">
            <v>0.10758481376337914</v>
          </cell>
          <cell r="S292" t="str">
            <v/>
          </cell>
          <cell r="T292">
            <v>0.14343511989884705</v>
          </cell>
          <cell r="U292">
            <v>0.17698071553947037</v>
          </cell>
          <cell r="V292">
            <v>0.22923993498423201</v>
          </cell>
          <cell r="W292" t="str">
            <v/>
          </cell>
          <cell r="X292" t="str">
            <v/>
          </cell>
          <cell r="Y292">
            <v>5.5574048848817892E-2</v>
          </cell>
          <cell r="Z292" t="str">
            <v/>
          </cell>
          <cell r="AA292">
            <v>0.11260513312677178</v>
          </cell>
          <cell r="AB292" t="str">
            <v/>
          </cell>
          <cell r="AC292">
            <v>0.14990681516438065</v>
          </cell>
          <cell r="AD292">
            <v>0.1847677205448609</v>
          </cell>
          <cell r="AE292">
            <v>0.23897656462191064</v>
          </cell>
        </row>
        <row r="293">
          <cell r="D293" t="str">
            <v>EUR</v>
          </cell>
          <cell r="N293" t="str">
            <v/>
          </cell>
          <cell r="O293">
            <v>4.132658722621585E-3</v>
          </cell>
          <cell r="P293">
            <v>9.8751569359432079E-3</v>
          </cell>
          <cell r="Q293">
            <v>2.7087888839807617E-2</v>
          </cell>
          <cell r="R293">
            <v>4.9692166631712165E-2</v>
          </cell>
          <cell r="S293" t="str">
            <v/>
          </cell>
          <cell r="T293">
            <v>0.10341805946251215</v>
          </cell>
          <cell r="U293">
            <v>0.14635122295753855</v>
          </cell>
          <cell r="V293">
            <v>0.20926109774944079</v>
          </cell>
          <cell r="W293" t="str">
            <v/>
          </cell>
          <cell r="X293">
            <v>4.3388018993406607E-3</v>
          </cell>
          <cell r="Y293">
            <v>1.0366543612558288E-2</v>
          </cell>
          <cell r="Z293">
            <v>2.8424715037713377E-2</v>
          </cell>
          <cell r="AA293">
            <v>5.2121352377813013E-2</v>
          </cell>
          <cell r="AB293" t="str">
            <v/>
          </cell>
          <cell r="AC293">
            <v>0.10835689784092983</v>
          </cell>
          <cell r="AD293">
            <v>0.15315657037248809</v>
          </cell>
          <cell r="AE293">
            <v>0.21860898433892173</v>
          </cell>
        </row>
        <row r="294">
          <cell r="D294" t="str">
            <v>EUR</v>
          </cell>
          <cell r="N294" t="str">
            <v/>
          </cell>
          <cell r="O294">
            <v>9.2110670977973985E-4</v>
          </cell>
          <cell r="P294">
            <v>3.0431560735831864E-3</v>
          </cell>
          <cell r="Q294">
            <v>9.9455190630729495E-3</v>
          </cell>
          <cell r="R294">
            <v>2.0631985352393523E-2</v>
          </cell>
          <cell r="S294" t="str">
            <v/>
          </cell>
          <cell r="T294">
            <v>4.6057717704412804E-2</v>
          </cell>
          <cell r="U294">
            <v>7.0854188517419647E-2</v>
          </cell>
          <cell r="V294">
            <v>0.10488620432818285</v>
          </cell>
          <cell r="W294" t="str">
            <v/>
          </cell>
          <cell r="X294">
            <v>9.8354718933602037E-4</v>
          </cell>
          <cell r="Y294">
            <v>3.1877043359580526E-3</v>
          </cell>
          <cell r="Z294">
            <v>1.0440457371482692E-2</v>
          </cell>
          <cell r="AA294">
            <v>2.1654783466459104E-2</v>
          </cell>
          <cell r="AB294" t="str">
            <v/>
          </cell>
          <cell r="AC294">
            <v>4.8311763473719571E-2</v>
          </cell>
          <cell r="AD294">
            <v>7.428300342404115E-2</v>
          </cell>
          <cell r="AE294">
            <v>0.10985616379329843</v>
          </cell>
        </row>
        <row r="295">
          <cell r="D295" t="str">
            <v>EUR</v>
          </cell>
          <cell r="N295" t="str">
            <v/>
          </cell>
          <cell r="O295">
            <v>5.1865313340326846E-4</v>
          </cell>
          <cell r="P295">
            <v>2.1728294388565494E-3</v>
          </cell>
          <cell r="Q295">
            <v>6.7232037803609535E-3</v>
          </cell>
          <cell r="R295">
            <v>1.3782220335361695E-2</v>
          </cell>
          <cell r="S295" t="str">
            <v/>
          </cell>
          <cell r="T295">
            <v>3.4432597515647645E-2</v>
          </cell>
          <cell r="U295">
            <v>5.9034141008521335E-2</v>
          </cell>
          <cell r="V295">
            <v>0.10814779851252376</v>
          </cell>
          <cell r="W295" t="str">
            <v/>
          </cell>
          <cell r="X295">
            <v>6.0193977532152498E-4</v>
          </cell>
          <cell r="Y295">
            <v>2.3391201093502234E-3</v>
          </cell>
          <cell r="Z295">
            <v>7.0542408698676118E-3</v>
          </cell>
          <cell r="AA295">
            <v>1.446386032797442E-2</v>
          </cell>
          <cell r="AB295" t="str">
            <v/>
          </cell>
          <cell r="AC295">
            <v>3.6124164751780263E-2</v>
          </cell>
          <cell r="AD295">
            <v>6.1908631533080904E-2</v>
          </cell>
          <cell r="AE295">
            <v>0.11332695446794694</v>
          </cell>
        </row>
        <row r="296">
          <cell r="D296" t="str">
            <v>USD</v>
          </cell>
          <cell r="N296" t="str">
            <v/>
          </cell>
          <cell r="O296" t="str">
            <v/>
          </cell>
          <cell r="P296">
            <v>1.1212529218074252E-3</v>
          </cell>
          <cell r="Q296" t="str">
            <v/>
          </cell>
          <cell r="R296">
            <v>1.2534328478737367E-2</v>
          </cell>
          <cell r="S296" t="str">
            <v/>
          </cell>
          <cell r="T296">
            <v>2.8816920547930835E-2</v>
          </cell>
          <cell r="U296">
            <v>5.3039374066115474E-2</v>
          </cell>
          <cell r="V296">
            <v>9.2585364910251156E-2</v>
          </cell>
          <cell r="W296" t="str">
            <v/>
          </cell>
          <cell r="X296" t="str">
            <v/>
          </cell>
          <cell r="Y296">
            <v>1.2877188404590845E-3</v>
          </cell>
          <cell r="Z296" t="str">
            <v/>
          </cell>
          <cell r="AA296">
            <v>1.3133538262760869E-2</v>
          </cell>
          <cell r="AB296" t="str">
            <v/>
          </cell>
          <cell r="AC296">
            <v>3.0231994509713478E-2</v>
          </cell>
          <cell r="AD296">
            <v>5.562529445190556E-2</v>
          </cell>
          <cell r="AE296">
            <v>9.7041409350864916E-2</v>
          </cell>
        </row>
        <row r="297">
          <cell r="D297" t="str">
            <v>USD</v>
          </cell>
          <cell r="N297" t="str">
            <v/>
          </cell>
          <cell r="O297" t="str">
            <v/>
          </cell>
          <cell r="P297">
            <v>1.0864501880809563E-3</v>
          </cell>
          <cell r="Q297" t="str">
            <v/>
          </cell>
          <cell r="R297">
            <v>1.0839086242467433E-2</v>
          </cell>
          <cell r="S297" t="str">
            <v/>
          </cell>
          <cell r="T297">
            <v>2.2283241639454276E-2</v>
          </cell>
          <cell r="U297">
            <v>4.3942381207787706E-2</v>
          </cell>
          <cell r="V297">
            <v>8.0780490072087985E-2</v>
          </cell>
          <cell r="W297" t="str">
            <v/>
          </cell>
          <cell r="X297" t="str">
            <v/>
          </cell>
          <cell r="Y297">
            <v>1.2529219066996777E-3</v>
          </cell>
          <cell r="Z297" t="str">
            <v/>
          </cell>
          <cell r="AA297">
            <v>1.1358259427295403E-2</v>
          </cell>
          <cell r="AB297" t="str">
            <v/>
          </cell>
          <cell r="AC297">
            <v>2.3378567292613672E-2</v>
          </cell>
          <cell r="AD297">
            <v>4.6091632470970145E-2</v>
          </cell>
          <cell r="AE297">
            <v>8.4667853631394063E-2</v>
          </cell>
        </row>
        <row r="298">
          <cell r="D298" t="str">
            <v>USD</v>
          </cell>
          <cell r="N298" t="str">
            <v/>
          </cell>
          <cell r="O298" t="str">
            <v/>
          </cell>
          <cell r="P298">
            <v>2.0882873527908741E-3</v>
          </cell>
          <cell r="Q298" t="str">
            <v/>
          </cell>
          <cell r="R298">
            <v>1.024692441098729E-2</v>
          </cell>
          <cell r="S298" t="str">
            <v/>
          </cell>
          <cell r="T298">
            <v>2.585143283779423E-2</v>
          </cell>
          <cell r="U298">
            <v>4.8743901296733338E-2</v>
          </cell>
          <cell r="V298">
            <v>9.7020655069939399E-2</v>
          </cell>
          <cell r="W298" t="str">
            <v/>
          </cell>
          <cell r="X298" t="str">
            <v/>
          </cell>
          <cell r="Y298">
            <v>2.2545921124562662E-3</v>
          </cell>
          <cell r="Z298" t="str">
            <v/>
          </cell>
          <cell r="AA298">
            <v>1.0741677250240445E-2</v>
          </cell>
          <cell r="AB298" t="str">
            <v/>
          </cell>
          <cell r="AC298">
            <v>2.7124917913048385E-2</v>
          </cell>
          <cell r="AD298">
            <v>5.1128084737356749E-2</v>
          </cell>
          <cell r="AE298">
            <v>0.10170126492620657</v>
          </cell>
        </row>
        <row r="299">
          <cell r="D299" t="str">
            <v>USD</v>
          </cell>
          <cell r="N299" t="str">
            <v/>
          </cell>
          <cell r="O299" t="str">
            <v/>
          </cell>
          <cell r="P299">
            <v>2.0882873527908741E-3</v>
          </cell>
          <cell r="Q299" t="str">
            <v/>
          </cell>
          <cell r="R299">
            <v>1.024692441098729E-2</v>
          </cell>
          <cell r="S299" t="str">
            <v/>
          </cell>
          <cell r="T299">
            <v>2.585143283779423E-2</v>
          </cell>
          <cell r="U299">
            <v>4.8743901296733338E-2</v>
          </cell>
          <cell r="V299">
            <v>9.7020655069939399E-2</v>
          </cell>
          <cell r="W299" t="str">
            <v/>
          </cell>
          <cell r="X299" t="str">
            <v/>
          </cell>
          <cell r="Y299">
            <v>2.2545921124562662E-3</v>
          </cell>
          <cell r="Z299" t="str">
            <v/>
          </cell>
          <cell r="AA299">
            <v>1.0741677250240445E-2</v>
          </cell>
          <cell r="AB299" t="str">
            <v/>
          </cell>
          <cell r="AC299">
            <v>2.7124917913048385E-2</v>
          </cell>
          <cell r="AD299">
            <v>5.1128084737356749E-2</v>
          </cell>
          <cell r="AE299">
            <v>0.10170126492620657</v>
          </cell>
        </row>
        <row r="300">
          <cell r="D300" t="str">
            <v>USD</v>
          </cell>
          <cell r="N300" t="str">
            <v/>
          </cell>
          <cell r="O300" t="str">
            <v/>
          </cell>
          <cell r="P300">
            <v>8.4975967665934515E-4</v>
          </cell>
          <cell r="Q300" t="str">
            <v/>
          </cell>
          <cell r="R300">
            <v>1.0079505722001114E-2</v>
          </cell>
          <cell r="S300" t="str">
            <v/>
          </cell>
          <cell r="T300">
            <v>2.2833446286305126E-2</v>
          </cell>
          <cell r="U300">
            <v>4.3334757122374001E-2</v>
          </cell>
          <cell r="V300">
            <v>7.9956530891261091E-2</v>
          </cell>
          <cell r="W300" t="str">
            <v/>
          </cell>
          <cell r="X300" t="str">
            <v/>
          </cell>
          <cell r="Y300">
            <v>1.0162708404068965E-3</v>
          </cell>
          <cell r="Z300" t="str">
            <v/>
          </cell>
          <cell r="AA300">
            <v>1.0574342249696111E-2</v>
          </cell>
          <cell r="AB300" t="str">
            <v/>
          </cell>
          <cell r="AC300">
            <v>2.3953629461721304E-2</v>
          </cell>
          <cell r="AD300">
            <v>4.5452699960103593E-2</v>
          </cell>
          <cell r="AE300">
            <v>8.380324314926757E-2</v>
          </cell>
        </row>
        <row r="301">
          <cell r="D301" t="str">
            <v>USD</v>
          </cell>
          <cell r="N301" t="str">
            <v/>
          </cell>
          <cell r="O301" t="str">
            <v/>
          </cell>
          <cell r="P301">
            <v>1.2569720844100019E-3</v>
          </cell>
          <cell r="Q301" t="str">
            <v/>
          </cell>
          <cell r="R301">
            <v>9.1942652724509299E-3</v>
          </cell>
          <cell r="S301" t="str">
            <v/>
          </cell>
          <cell r="T301">
            <v>2.1996969895597074E-2</v>
          </cell>
          <cell r="U301">
            <v>4.2478069850777067E-2</v>
          </cell>
          <cell r="V301">
            <v>7.6169670835067205E-2</v>
          </cell>
          <cell r="W301" t="str">
            <v/>
          </cell>
          <cell r="X301" t="str">
            <v/>
          </cell>
          <cell r="Y301">
            <v>1.4234153850898323E-3</v>
          </cell>
          <cell r="Z301" t="str">
            <v/>
          </cell>
          <cell r="AA301">
            <v>9.6895443097742007E-3</v>
          </cell>
          <cell r="AB301" t="str">
            <v/>
          </cell>
          <cell r="AC301">
            <v>2.3073089107243705E-2</v>
          </cell>
          <cell r="AD301">
            <v>4.4551920535900957E-2</v>
          </cell>
          <cell r="AE301">
            <v>7.9837270008437211E-2</v>
          </cell>
        </row>
        <row r="302">
          <cell r="D302" t="str">
            <v>EUR</v>
          </cell>
          <cell r="N302" t="str">
            <v/>
          </cell>
          <cell r="O302">
            <v>5.4594323121426314E-4</v>
          </cell>
          <cell r="P302">
            <v>1.0446661685874492E-3</v>
          </cell>
          <cell r="Q302">
            <v>4.1457633276648087E-3</v>
          </cell>
          <cell r="R302">
            <v>9.3351024819504635E-3</v>
          </cell>
          <cell r="S302" t="str">
            <v/>
          </cell>
          <cell r="T302">
            <v>2.5152572652900607E-2</v>
          </cell>
          <cell r="U302">
            <v>4.2388059230664465E-2</v>
          </cell>
          <cell r="V302">
            <v>7.8351029680674422E-2</v>
          </cell>
          <cell r="W302" t="str">
            <v/>
          </cell>
          <cell r="X302">
            <v>6.2922759904748826E-4</v>
          </cell>
          <cell r="Y302">
            <v>1.2111448506226807E-3</v>
          </cell>
          <cell r="Z302">
            <v>4.4776594207824871E-3</v>
          </cell>
          <cell r="AA302">
            <v>9.8303111182469483E-3</v>
          </cell>
          <cell r="AB302" t="str">
            <v/>
          </cell>
          <cell r="AC302">
            <v>2.638159083724545E-2</v>
          </cell>
          <cell r="AD302">
            <v>4.4455134658189399E-2</v>
          </cell>
          <cell r="AE302">
            <v>8.2117615838468438E-2</v>
          </cell>
        </row>
        <row r="303">
          <cell r="D303" t="str">
            <v>USD</v>
          </cell>
          <cell r="N303" t="str">
            <v/>
          </cell>
          <cell r="O303" t="str">
            <v/>
          </cell>
          <cell r="P303">
            <v>1.1351736783257182E-3</v>
          </cell>
          <cell r="Q303" t="str">
            <v/>
          </cell>
          <cell r="R303">
            <v>9.6179160955335297E-3</v>
          </cell>
          <cell r="S303" t="str">
            <v/>
          </cell>
          <cell r="T303">
            <v>2.3308344232192635E-2</v>
          </cell>
          <cell r="U303">
            <v>4.1163621774345405E-2</v>
          </cell>
          <cell r="V303">
            <v>6.995998584516383E-2</v>
          </cell>
          <cell r="W303" t="str">
            <v/>
          </cell>
          <cell r="X303" t="str">
            <v/>
          </cell>
          <cell r="Y303">
            <v>1.3016372770298101E-3</v>
          </cell>
          <cell r="Z303" t="str">
            <v/>
          </cell>
          <cell r="AA303">
            <v>1.0112983360338612E-2</v>
          </cell>
          <cell r="AB303" t="str">
            <v/>
          </cell>
          <cell r="AC303">
            <v>2.4450491702461608E-2</v>
          </cell>
          <cell r="AD303">
            <v>4.3175025602657735E-2</v>
          </cell>
          <cell r="AE303">
            <v>7.3335880198426073E-2</v>
          </cell>
        </row>
        <row r="304">
          <cell r="D304" t="str">
            <v>EUR</v>
          </cell>
          <cell r="N304" t="str">
            <v/>
          </cell>
          <cell r="O304">
            <v>4.5497334759936336E-4</v>
          </cell>
          <cell r="P304">
            <v>8.7063095825812287E-4</v>
          </cell>
          <cell r="Q304">
            <v>3.4556797820997076E-3</v>
          </cell>
          <cell r="R304">
            <v>7.7834086460574214E-3</v>
          </cell>
          <cell r="S304" t="str">
            <v/>
          </cell>
          <cell r="T304">
            <v>2.2630626801622866E-2</v>
          </cell>
          <cell r="U304">
            <v>4.0230982194373377E-2</v>
          </cell>
          <cell r="V304">
            <v>6.9556971171860882E-2</v>
          </cell>
          <cell r="W304" t="str">
            <v/>
          </cell>
          <cell r="X304">
            <v>5.3826529594969141E-4</v>
          </cell>
          <cell r="Y304">
            <v>1.0371386437357799E-3</v>
          </cell>
          <cell r="Z304">
            <v>3.7878058647371482E-3</v>
          </cell>
          <cell r="AA304">
            <v>8.2793929353108808E-3</v>
          </cell>
          <cell r="AB304" t="str">
            <v/>
          </cell>
          <cell r="AC304">
            <v>2.3728509373894036E-2</v>
          </cell>
          <cell r="AD304">
            <v>4.2187016399201749E-2</v>
          </cell>
          <cell r="AE304">
            <v>7.2905332113767707E-2</v>
          </cell>
        </row>
        <row r="305">
          <cell r="D305" t="str">
            <v>EUR</v>
          </cell>
          <cell r="N305" t="str">
            <v/>
          </cell>
          <cell r="O305">
            <v>3.6399520350638426E-4</v>
          </cell>
          <cell r="P305">
            <v>1.049060286898551E-3</v>
          </cell>
          <cell r="Q305">
            <v>3.8010831333065154E-3</v>
          </cell>
          <cell r="R305">
            <v>7.2323104235898494E-3</v>
          </cell>
          <cell r="S305" t="str">
            <v/>
          </cell>
          <cell r="T305">
            <v>2.0859194367127021E-2</v>
          </cell>
          <cell r="U305">
            <v>3.9134327449110162E-2</v>
          </cell>
          <cell r="V305">
            <v>7.186498170609279E-2</v>
          </cell>
          <cell r="W305" t="str">
            <v/>
          </cell>
          <cell r="X305">
            <v>4.4729473304006007E-4</v>
          </cell>
          <cell r="Y305">
            <v>1.2155382366452194E-3</v>
          </cell>
          <cell r="Z305">
            <v>4.1330941006814115E-3</v>
          </cell>
          <cell r="AA305">
            <v>7.7285701930812634E-3</v>
          </cell>
          <cell r="AB305" t="str">
            <v/>
          </cell>
          <cell r="AC305">
            <v>2.1869210805171124E-2</v>
          </cell>
          <cell r="AD305">
            <v>4.1036690995483904E-2</v>
          </cell>
          <cell r="AE305">
            <v>7.5322965556477661E-2</v>
          </cell>
        </row>
        <row r="306">
          <cell r="D306" t="str">
            <v>USD</v>
          </cell>
          <cell r="N306" t="str">
            <v/>
          </cell>
          <cell r="O306" t="str">
            <v/>
          </cell>
          <cell r="P306">
            <v>6.7394614047022738E-4</v>
          </cell>
          <cell r="Q306" t="str">
            <v/>
          </cell>
          <cell r="R306">
            <v>6.7200786941882251E-3</v>
          </cell>
          <cell r="S306" t="str">
            <v/>
          </cell>
          <cell r="T306">
            <v>1.7360891285542634E-2</v>
          </cell>
          <cell r="U306">
            <v>3.8479001619805553E-2</v>
          </cell>
          <cell r="V306">
            <v>6.3272643623229707E-2</v>
          </cell>
          <cell r="W306" t="str">
            <v/>
          </cell>
          <cell r="X306" t="str">
            <v/>
          </cell>
          <cell r="Y306">
            <v>8.404866040392367E-4</v>
          </cell>
          <cell r="Z306" t="str">
            <v/>
          </cell>
          <cell r="AA306">
            <v>7.2165945155356903E-3</v>
          </cell>
          <cell r="AB306" t="str">
            <v/>
          </cell>
          <cell r="AC306">
            <v>1.8179416110110536E-2</v>
          </cell>
          <cell r="AD306">
            <v>4.0347219810654034E-2</v>
          </cell>
          <cell r="AE306">
            <v>6.6323498112879298E-2</v>
          </cell>
        </row>
        <row r="307">
          <cell r="D307" t="str">
            <v>EUR</v>
          </cell>
          <cell r="N307" t="str">
            <v/>
          </cell>
          <cell r="O307">
            <v>3.6399520350638426E-4</v>
          </cell>
          <cell r="P307">
            <v>1.5776928696848991E-3</v>
          </cell>
          <cell r="Q307">
            <v>4.8300036012460801E-3</v>
          </cell>
          <cell r="R307">
            <v>8.7578517722344262E-3</v>
          </cell>
          <cell r="S307" t="str">
            <v/>
          </cell>
          <cell r="T307">
            <v>2.156941971103199E-2</v>
          </cell>
          <cell r="U307">
            <v>3.4954312096123541E-2</v>
          </cell>
          <cell r="V307">
            <v>5.8630790834494517E-2</v>
          </cell>
          <cell r="W307" t="str">
            <v/>
          </cell>
          <cell r="X307">
            <v>4.4729473304006007E-4</v>
          </cell>
          <cell r="Y307">
            <v>1.7440827213339727E-3</v>
          </cell>
          <cell r="Z307">
            <v>5.161671652306743E-3</v>
          </cell>
          <cell r="AA307">
            <v>9.2533489617411258E-3</v>
          </cell>
          <cell r="AB307" t="str">
            <v/>
          </cell>
          <cell r="AC307">
            <v>2.2623035431614147E-2</v>
          </cell>
          <cell r="AD307">
            <v>3.6661117150498357E-2</v>
          </cell>
          <cell r="AE307">
            <v>6.146876160227055E-2</v>
          </cell>
        </row>
        <row r="308">
          <cell r="D308" t="str">
            <v>EUR</v>
          </cell>
          <cell r="N308" t="str">
            <v/>
          </cell>
          <cell r="O308">
            <v>4.5497334759936336E-4</v>
          </cell>
          <cell r="P308">
            <v>1.22308070448085E-3</v>
          </cell>
          <cell r="Q308">
            <v>3.7927823407388761E-3</v>
          </cell>
          <cell r="R308">
            <v>8.2859042324988641E-3</v>
          </cell>
          <cell r="S308" t="str">
            <v/>
          </cell>
          <cell r="T308">
            <v>1.9878731060564148E-2</v>
          </cell>
          <cell r="U308">
            <v>3.5236478943504235E-2</v>
          </cell>
          <cell r="V308">
            <v>6.4703833634608743E-2</v>
          </cell>
          <cell r="W308" t="str">
            <v/>
          </cell>
          <cell r="X308">
            <v>5.3826529594969141E-4</v>
          </cell>
          <cell r="Y308">
            <v>1.3895296532399071E-3</v>
          </cell>
          <cell r="Z308">
            <v>4.124796074582493E-3</v>
          </cell>
          <cell r="AA308">
            <v>8.7816373367883838E-3</v>
          </cell>
          <cell r="AB308" t="str">
            <v/>
          </cell>
          <cell r="AC308">
            <v>2.084471629135054E-2</v>
          </cell>
          <cell r="AD308">
            <v>3.6953075360384835E-2</v>
          </cell>
          <cell r="AE308">
            <v>6.7827522129052076E-2</v>
          </cell>
        </row>
        <row r="309">
          <cell r="D309" t="str">
            <v>EUR</v>
          </cell>
          <cell r="N309" t="str">
            <v/>
          </cell>
          <cell r="O309">
            <v>3.6399520350638426E-4</v>
          </cell>
          <cell r="P309">
            <v>8.728201724156337E-4</v>
          </cell>
          <cell r="Q309">
            <v>3.1086041784720297E-3</v>
          </cell>
          <cell r="R309">
            <v>7.2706402611258936E-3</v>
          </cell>
          <cell r="S309" t="str">
            <v/>
          </cell>
          <cell r="T309">
            <v>1.8211863196228584E-2</v>
          </cell>
          <cell r="U309">
            <v>3.4242684874590257E-2</v>
          </cell>
          <cell r="V309">
            <v>5.9399270821817951E-2</v>
          </cell>
          <cell r="W309" t="str">
            <v/>
          </cell>
          <cell r="X309">
            <v>4.4729473304006007E-4</v>
          </cell>
          <cell r="Y309">
            <v>1.0393274930516894E-3</v>
          </cell>
          <cell r="Z309">
            <v>3.4408459337169628E-3</v>
          </cell>
          <cell r="AA309">
            <v>7.7668808705068093E-3</v>
          </cell>
          <cell r="AB309" t="str">
            <v/>
          </cell>
          <cell r="AC309">
            <v>1.907055208476105E-2</v>
          </cell>
          <cell r="AD309">
            <v>3.590756999842637E-2</v>
          </cell>
          <cell r="AE309">
            <v>6.2268569571166332E-2</v>
          </cell>
        </row>
        <row r="310">
          <cell r="D310" t="str">
            <v>EUR</v>
          </cell>
          <cell r="N310" t="str">
            <v/>
          </cell>
          <cell r="O310">
            <v>4.5497334759936336E-4</v>
          </cell>
          <cell r="P310">
            <v>1.0468631450375465E-3</v>
          </cell>
          <cell r="Q310">
            <v>4.1480051453959277E-3</v>
          </cell>
          <cell r="R310">
            <v>8.2758480360302089E-3</v>
          </cell>
          <cell r="S310" t="str">
            <v/>
          </cell>
          <cell r="T310">
            <v>1.9868489015620661E-2</v>
          </cell>
          <cell r="U310">
            <v>3.2621847597286258E-2</v>
          </cell>
          <cell r="V310">
            <v>5.7323262221941729E-2</v>
          </cell>
          <cell r="W310" t="str">
            <v/>
          </cell>
          <cell r="X310">
            <v>5.3826529594969141E-4</v>
          </cell>
          <cell r="Y310">
            <v>1.2133414609432069E-3</v>
          </cell>
          <cell r="Z310">
            <v>4.4799004913916862E-3</v>
          </cell>
          <cell r="AA310">
            <v>8.7715861671472384E-3</v>
          </cell>
          <cell r="AB310" t="str">
            <v/>
          </cell>
          <cell r="AC310">
            <v>2.083443770740312E-2</v>
          </cell>
          <cell r="AD310">
            <v>3.4211302515329001E-2</v>
          </cell>
          <cell r="AE310">
            <v>6.0096335129151357E-2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rametres"/>
      <sheetName val="Option"/>
      <sheetName val="IRS Strip"/>
      <sheetName val="CDS Strip"/>
      <sheetName val="Fwd Intensity"/>
      <sheetName val="CDS"/>
      <sheetName val="Valo_Add_In"/>
    </sheetNames>
    <definedNames>
      <definedName name="GetBSOptionPortfolioPrice"/>
      <definedName name="GetBSOptionPrice"/>
      <definedName name="GetDeltaOptionPortfolio"/>
      <definedName name="GetDeltaOptionPortfolioBS"/>
      <definedName name="GetGammaOptionPortfolio"/>
      <definedName name="GetGammaOptionPortfolioBS"/>
      <definedName name="GetGetCDSName"/>
      <definedName name="GetMCEurOptionPortfolioPrice"/>
      <definedName name="GetMCEurOptionPrice"/>
      <definedName name="GetOptionPortfolioPrice"/>
      <definedName name="GetOptionPrice"/>
      <definedName name="GetSensiOption"/>
      <definedName name="GetSensiOptionBS"/>
      <definedName name="GetThetaOptionPortfolio"/>
      <definedName name="GetThetaOptionPortfolioBS"/>
      <definedName name="GetVegaOptionPortfolio"/>
      <definedName name="GetVegaOptionPortfolioBS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EDB75-5265-4831-BD12-DFF7054CFEDF}">
  <sheetPr codeName="Feuil3"/>
  <dimension ref="B1:F16"/>
  <sheetViews>
    <sheetView showGridLines="0" workbookViewId="0">
      <selection activeCell="H11" sqref="H11"/>
    </sheetView>
  </sheetViews>
  <sheetFormatPr baseColWidth="10" defaultRowHeight="14.4" x14ac:dyDescent="0.3"/>
  <cols>
    <col min="2" max="2" width="15.5546875" bestFit="1" customWidth="1"/>
    <col min="3" max="3" width="4.44140625" customWidth="1"/>
    <col min="4" max="4" width="14.109375" bestFit="1" customWidth="1"/>
    <col min="5" max="5" width="11.33203125" bestFit="1" customWidth="1"/>
  </cols>
  <sheetData>
    <row r="1" spans="2:6" ht="15" thickBot="1" x14ac:dyDescent="0.35"/>
    <row r="2" spans="2:6" ht="15" thickBot="1" x14ac:dyDescent="0.35">
      <c r="B2" s="42" t="s">
        <v>33</v>
      </c>
      <c r="D2" s="42" t="s">
        <v>430</v>
      </c>
      <c r="F2" s="42" t="s">
        <v>34</v>
      </c>
    </row>
    <row r="3" spans="2:6" x14ac:dyDescent="0.3">
      <c r="B3" s="38" t="s">
        <v>7</v>
      </c>
      <c r="D3" s="38" t="s">
        <v>32</v>
      </c>
      <c r="F3" s="37" t="s">
        <v>0</v>
      </c>
    </row>
    <row r="4" spans="2:6" ht="15" thickBot="1" x14ac:dyDescent="0.35">
      <c r="B4" s="41" t="s">
        <v>30</v>
      </c>
      <c r="D4" s="41" t="s">
        <v>31</v>
      </c>
      <c r="F4" s="38" t="s">
        <v>2</v>
      </c>
    </row>
    <row r="5" spans="2:6" ht="15" thickBot="1" x14ac:dyDescent="0.35">
      <c r="F5" s="41" t="s">
        <v>1</v>
      </c>
    </row>
    <row r="6" spans="2:6" ht="15" thickBot="1" x14ac:dyDescent="0.35">
      <c r="B6" s="57" t="s">
        <v>44</v>
      </c>
    </row>
    <row r="7" spans="2:6" ht="15" thickBot="1" x14ac:dyDescent="0.35">
      <c r="B7" s="143" t="s">
        <v>45</v>
      </c>
      <c r="D7" s="92" t="s">
        <v>429</v>
      </c>
      <c r="E7" s="146">
        <v>45352</v>
      </c>
    </row>
    <row r="8" spans="2:6" x14ac:dyDescent="0.3">
      <c r="B8" s="144" t="s">
        <v>46</v>
      </c>
    </row>
    <row r="9" spans="2:6" x14ac:dyDescent="0.3">
      <c r="B9" s="144" t="s">
        <v>43</v>
      </c>
    </row>
    <row r="10" spans="2:6" x14ac:dyDescent="0.3">
      <c r="B10" s="144" t="s">
        <v>41</v>
      </c>
    </row>
    <row r="11" spans="2:6" ht="15" thickBot="1" x14ac:dyDescent="0.35">
      <c r="B11" s="145" t="s">
        <v>42</v>
      </c>
    </row>
    <row r="13" spans="2:6" ht="15" thickBot="1" x14ac:dyDescent="0.35"/>
    <row r="14" spans="2:6" ht="15" thickBot="1" x14ac:dyDescent="0.35">
      <c r="B14" s="57" t="s">
        <v>420</v>
      </c>
      <c r="D14" s="57" t="s">
        <v>421</v>
      </c>
    </row>
    <row r="15" spans="2:6" x14ac:dyDescent="0.3">
      <c r="B15" s="37" t="b">
        <v>1</v>
      </c>
      <c r="D15" s="37" t="s">
        <v>83</v>
      </c>
    </row>
    <row r="16" spans="2:6" ht="15" thickBot="1" x14ac:dyDescent="0.35">
      <c r="B16" s="41" t="b">
        <v>0</v>
      </c>
      <c r="D16" s="41" t="s">
        <v>422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EB02E2-4443-40A4-AF11-E2FDD01FCACE}">
  <sheetPr codeName="Feuil2"/>
  <dimension ref="A1:AA27"/>
  <sheetViews>
    <sheetView showGridLines="0" zoomScale="97" zoomScaleNormal="400" workbookViewId="0">
      <selection activeCell="K10" sqref="K10"/>
    </sheetView>
  </sheetViews>
  <sheetFormatPr baseColWidth="10" defaultRowHeight="14.4" x14ac:dyDescent="0.3"/>
  <cols>
    <col min="1" max="1" width="6.21875" customWidth="1"/>
    <col min="2" max="2" width="12.5546875" customWidth="1"/>
    <col min="4" max="4" width="13.33203125" customWidth="1"/>
    <col min="5" max="5" width="9.77734375" customWidth="1"/>
    <col min="6" max="6" width="12" customWidth="1"/>
    <col min="7" max="7" width="25.44140625" customWidth="1"/>
    <col min="8" max="8" width="11.5546875" customWidth="1"/>
    <col min="9" max="9" width="10.5546875" customWidth="1"/>
    <col min="10" max="10" width="10.21875" customWidth="1"/>
    <col min="11" max="11" width="9.33203125" customWidth="1"/>
    <col min="12" max="12" width="12.77734375" customWidth="1"/>
    <col min="13" max="13" width="10" customWidth="1"/>
    <col min="14" max="14" width="5.6640625" customWidth="1"/>
    <col min="15" max="15" width="12.109375" customWidth="1"/>
    <col min="16" max="16" width="10.6640625" customWidth="1"/>
    <col min="17" max="17" width="8" style="48" customWidth="1"/>
    <col min="23" max="23" width="10" customWidth="1"/>
    <col min="24" max="24" width="11.5546875" customWidth="1"/>
    <col min="25" max="25" width="8.33203125" customWidth="1"/>
    <col min="26" max="26" width="12.44140625" customWidth="1"/>
    <col min="27" max="27" width="10" customWidth="1"/>
  </cols>
  <sheetData>
    <row r="1" spans="1:23" ht="24.6" customHeight="1" thickBot="1" x14ac:dyDescent="0.35"/>
    <row r="2" spans="1:23" ht="31.2" customHeight="1" thickBot="1" x14ac:dyDescent="0.65">
      <c r="D2" s="53" t="s">
        <v>36</v>
      </c>
      <c r="E2" s="102"/>
      <c r="F2" s="103"/>
      <c r="I2" s="53" t="s">
        <v>15</v>
      </c>
      <c r="J2" s="102"/>
      <c r="K2" s="103"/>
      <c r="T2" s="53" t="s">
        <v>92</v>
      </c>
      <c r="U2" s="102"/>
      <c r="V2" s="103"/>
    </row>
    <row r="3" spans="1:23" s="2" customFormat="1" x14ac:dyDescent="0.3">
      <c r="D3" s="52"/>
      <c r="Q3" s="49"/>
    </row>
    <row r="4" spans="1:23" ht="28.5" customHeight="1" thickBot="1" x14ac:dyDescent="0.35"/>
    <row r="5" spans="1:23" ht="15" thickBot="1" x14ac:dyDescent="0.35">
      <c r="A5" s="54" t="s">
        <v>17</v>
      </c>
      <c r="C5" s="301" t="s">
        <v>21</v>
      </c>
      <c r="D5" s="302"/>
      <c r="F5" s="299" t="s">
        <v>23</v>
      </c>
      <c r="G5" s="300"/>
      <c r="I5" s="299" t="s">
        <v>22</v>
      </c>
      <c r="J5" s="300"/>
      <c r="R5" s="301" t="s">
        <v>39</v>
      </c>
      <c r="S5" s="302"/>
      <c r="U5" s="299" t="s">
        <v>40</v>
      </c>
      <c r="V5" s="300"/>
    </row>
    <row r="6" spans="1:23" ht="15" thickBot="1" x14ac:dyDescent="0.35">
      <c r="A6" s="55" t="s">
        <v>18</v>
      </c>
      <c r="C6" s="99"/>
      <c r="D6" s="99"/>
      <c r="F6" s="100"/>
      <c r="G6" s="100"/>
      <c r="I6" s="100"/>
      <c r="J6" s="100"/>
      <c r="R6" s="99"/>
      <c r="S6" s="99"/>
      <c r="U6" s="100"/>
      <c r="V6" s="100"/>
    </row>
    <row r="7" spans="1:23" ht="15" thickBot="1" x14ac:dyDescent="0.35">
      <c r="A7" s="56" t="s">
        <v>19</v>
      </c>
      <c r="C7" s="105" t="s">
        <v>91</v>
      </c>
      <c r="D7" s="101">
        <v>2</v>
      </c>
      <c r="F7" s="115" t="s">
        <v>24</v>
      </c>
      <c r="G7" s="5" t="e" cm="1">
        <f t="array" aca="1" ref="G7" ca="1">[3]!GetBSOptionPrice(D7,D8,D9,D10,D11,D12,D13,D14,D16)</f>
        <v>#NAME?</v>
      </c>
      <c r="I7" s="115" t="s">
        <v>24</v>
      </c>
      <c r="J7" s="5" t="e" cm="1">
        <f t="array" aca="1" ref="J7" ca="1">[3]!GetMCEurOptionPrice(D7,D8,D9,D10,D11,D12,D13,D14,D16)</f>
        <v>#NAME?</v>
      </c>
      <c r="R7" s="105" t="s">
        <v>91</v>
      </c>
      <c r="S7" s="101">
        <v>1</v>
      </c>
      <c r="U7" s="115" t="s">
        <v>24</v>
      </c>
      <c r="V7" s="5" t="e" cm="1">
        <f t="array" aca="1" ref="V7" ca="1">[3]!GetOptionPrice(S7,S8,S9,S10,S11,S12,S14)</f>
        <v>#NAME?</v>
      </c>
    </row>
    <row r="8" spans="1:23" ht="15" thickBot="1" x14ac:dyDescent="0.35">
      <c r="C8" s="106" t="s">
        <v>14</v>
      </c>
      <c r="D8" s="30" t="s">
        <v>7</v>
      </c>
      <c r="E8" s="4"/>
      <c r="F8" s="4"/>
      <c r="K8" s="1"/>
      <c r="R8" s="106" t="s">
        <v>14</v>
      </c>
      <c r="S8" s="30" t="s">
        <v>7</v>
      </c>
      <c r="T8" s="4"/>
      <c r="U8" s="4"/>
      <c r="V8" s="4"/>
      <c r="W8" s="4"/>
    </row>
    <row r="9" spans="1:23" x14ac:dyDescent="0.3">
      <c r="C9" s="106" t="s">
        <v>27</v>
      </c>
      <c r="D9" s="30" t="s">
        <v>32</v>
      </c>
      <c r="E9" s="4"/>
      <c r="F9" s="116" t="s">
        <v>4</v>
      </c>
      <c r="G9" s="13" t="e" cm="1">
        <f t="array" aca="1" ref="G9" ca="1">[3]!GetSensiOptionBS(D7,D8,D9,D10,D11,D12,D13,D14,D16)</f>
        <v>#NAME?</v>
      </c>
      <c r="I9" s="4"/>
      <c r="K9" s="1"/>
      <c r="R9" s="107" t="s">
        <v>27</v>
      </c>
      <c r="S9" s="30" t="s">
        <v>29</v>
      </c>
      <c r="T9" s="4"/>
      <c r="U9" s="116" t="s">
        <v>4</v>
      </c>
      <c r="V9" s="13" t="e" cm="1">
        <f t="array" aca="1" ref="V9" ca="1">[3]!GetSensiOption(S7,S8,S9,S10,S11,S12,S14)</f>
        <v>#NAME?</v>
      </c>
      <c r="W9" s="4"/>
    </row>
    <row r="10" spans="1:23" x14ac:dyDescent="0.3">
      <c r="C10" s="107" t="s">
        <v>11</v>
      </c>
      <c r="D10" s="30">
        <v>100</v>
      </c>
      <c r="E10" s="4"/>
      <c r="F10" s="107" t="s">
        <v>5</v>
      </c>
      <c r="G10" s="14"/>
      <c r="R10" s="107" t="s">
        <v>9</v>
      </c>
      <c r="S10" s="30">
        <v>100</v>
      </c>
      <c r="T10" s="4"/>
      <c r="U10" s="107" t="s">
        <v>5</v>
      </c>
      <c r="V10" s="14"/>
      <c r="W10" s="4"/>
    </row>
    <row r="11" spans="1:23" x14ac:dyDescent="0.3">
      <c r="C11" s="108" t="s">
        <v>3</v>
      </c>
      <c r="D11" s="39">
        <v>0.2</v>
      </c>
      <c r="E11" s="4"/>
      <c r="F11" s="107" t="s">
        <v>6</v>
      </c>
      <c r="G11" s="14"/>
      <c r="R11" s="107" t="s">
        <v>10</v>
      </c>
      <c r="S11" s="46">
        <v>44989</v>
      </c>
      <c r="T11" s="4"/>
      <c r="U11" s="107" t="s">
        <v>6</v>
      </c>
      <c r="V11" s="14"/>
      <c r="W11" s="4"/>
    </row>
    <row r="12" spans="1:23" ht="15" thickBot="1" x14ac:dyDescent="0.35">
      <c r="C12" s="108" t="s">
        <v>8</v>
      </c>
      <c r="D12" s="39">
        <v>0.05</v>
      </c>
      <c r="E12" s="4"/>
      <c r="F12" s="117" t="s">
        <v>26</v>
      </c>
      <c r="G12" s="15"/>
      <c r="R12" s="117" t="s">
        <v>13</v>
      </c>
      <c r="S12" s="40" t="s">
        <v>0</v>
      </c>
      <c r="T12" s="4"/>
      <c r="U12" s="117" t="s">
        <v>26</v>
      </c>
      <c r="V12" s="15"/>
      <c r="W12" s="4"/>
    </row>
    <row r="13" spans="1:23" ht="15" thickBot="1" x14ac:dyDescent="0.35">
      <c r="C13" s="108" t="s">
        <v>9</v>
      </c>
      <c r="D13" s="30">
        <v>100</v>
      </c>
      <c r="E13" s="4"/>
      <c r="R13" s="4"/>
      <c r="S13" s="4"/>
      <c r="T13" s="4"/>
      <c r="W13" s="4"/>
    </row>
    <row r="14" spans="1:23" ht="15" thickBot="1" x14ac:dyDescent="0.35">
      <c r="C14" s="109" t="s">
        <v>10</v>
      </c>
      <c r="D14" s="31">
        <v>1</v>
      </c>
      <c r="E14" s="4"/>
      <c r="R14" s="114" t="s">
        <v>12</v>
      </c>
      <c r="S14" s="12">
        <v>0</v>
      </c>
      <c r="T14" s="4"/>
      <c r="W14" s="4"/>
    </row>
    <row r="15" spans="1:23" ht="15" thickBot="1" x14ac:dyDescent="0.35">
      <c r="C15" s="4"/>
      <c r="D15" s="7"/>
      <c r="E15" s="4"/>
      <c r="F15" s="4"/>
      <c r="R15" s="4"/>
      <c r="S15" s="7"/>
      <c r="T15" s="4"/>
      <c r="U15" s="4"/>
      <c r="V15" s="4"/>
      <c r="W15" s="4"/>
    </row>
    <row r="16" spans="1:23" ht="15" thickBot="1" x14ac:dyDescent="0.35">
      <c r="C16" s="114" t="s">
        <v>12</v>
      </c>
      <c r="D16" s="8">
        <v>0</v>
      </c>
      <c r="E16" s="4"/>
      <c r="F16" s="4"/>
      <c r="G16" s="4"/>
      <c r="T16" s="4"/>
      <c r="U16" s="4"/>
      <c r="V16" s="4"/>
      <c r="W16" s="4"/>
    </row>
    <row r="17" spans="2:27" x14ac:dyDescent="0.3">
      <c r="P17" s="4"/>
      <c r="Q17" s="50"/>
      <c r="R17" s="4"/>
      <c r="S17" s="4"/>
      <c r="T17" s="4"/>
      <c r="U17" s="4"/>
      <c r="V17" s="4"/>
      <c r="W17" s="4"/>
    </row>
    <row r="18" spans="2:27" s="2" customFormat="1" ht="28.2" customHeight="1" x14ac:dyDescent="0.6">
      <c r="E18" s="3" t="s">
        <v>37</v>
      </c>
      <c r="P18" s="16"/>
      <c r="Q18" s="51"/>
      <c r="R18" s="16"/>
      <c r="S18" s="16"/>
      <c r="T18" s="3" t="s">
        <v>38</v>
      </c>
      <c r="U18" s="16"/>
      <c r="V18" s="16"/>
      <c r="W18" s="16"/>
    </row>
    <row r="19" spans="2:27" ht="15" thickBot="1" x14ac:dyDescent="0.35">
      <c r="P19" s="4"/>
      <c r="Q19" s="50"/>
      <c r="R19" s="4"/>
      <c r="S19" s="4"/>
      <c r="T19" s="4"/>
      <c r="U19" s="4"/>
      <c r="V19" s="4"/>
      <c r="W19" s="4"/>
    </row>
    <row r="20" spans="2:27" ht="15" thickBot="1" x14ac:dyDescent="0.35">
      <c r="B20" s="301" t="s">
        <v>21</v>
      </c>
      <c r="C20" s="303"/>
      <c r="D20" s="303"/>
      <c r="E20" s="303"/>
      <c r="F20" s="303"/>
      <c r="G20" s="303"/>
      <c r="H20" s="303"/>
      <c r="I20" s="303"/>
      <c r="J20" s="302"/>
      <c r="L20" s="301" t="s">
        <v>23</v>
      </c>
      <c r="M20" s="302"/>
      <c r="O20" s="301" t="s">
        <v>22</v>
      </c>
      <c r="P20" s="302"/>
      <c r="R20" s="304" t="s">
        <v>39</v>
      </c>
      <c r="S20" s="305"/>
      <c r="T20" s="305"/>
      <c r="U20" s="305"/>
      <c r="V20" s="305"/>
      <c r="W20" s="305"/>
      <c r="X20" s="306"/>
      <c r="Z20" s="299" t="s">
        <v>40</v>
      </c>
      <c r="AA20" s="300"/>
    </row>
    <row r="21" spans="2:27" ht="15" thickBot="1" x14ac:dyDescent="0.35">
      <c r="B21" s="118" t="s">
        <v>91</v>
      </c>
      <c r="C21" s="168" t="s">
        <v>14</v>
      </c>
      <c r="D21" s="169" t="s">
        <v>27</v>
      </c>
      <c r="E21" s="168" t="s">
        <v>11</v>
      </c>
      <c r="F21" s="169" t="s">
        <v>3</v>
      </c>
      <c r="G21" s="168" t="s">
        <v>8</v>
      </c>
      <c r="H21" s="169" t="s">
        <v>9</v>
      </c>
      <c r="I21" s="168" t="s">
        <v>10</v>
      </c>
      <c r="J21" s="170" t="s">
        <v>12</v>
      </c>
      <c r="R21" s="118" t="s">
        <v>91</v>
      </c>
      <c r="S21" s="119" t="s">
        <v>14</v>
      </c>
      <c r="T21" s="119" t="s">
        <v>35</v>
      </c>
      <c r="U21" s="120" t="s">
        <v>9</v>
      </c>
      <c r="V21" s="120" t="s">
        <v>10</v>
      </c>
      <c r="W21" s="121" t="s">
        <v>13</v>
      </c>
      <c r="X21" s="121" t="s">
        <v>12</v>
      </c>
    </row>
    <row r="22" spans="2:27" ht="15" thickBot="1" x14ac:dyDescent="0.35">
      <c r="B22" s="9">
        <v>1</v>
      </c>
      <c r="C22" s="20" t="s">
        <v>7</v>
      </c>
      <c r="D22" s="20" t="s">
        <v>32</v>
      </c>
      <c r="E22" s="20">
        <v>100</v>
      </c>
      <c r="F22" s="21">
        <v>0.2</v>
      </c>
      <c r="G22" s="21">
        <v>0.02</v>
      </c>
      <c r="H22" s="20">
        <v>100</v>
      </c>
      <c r="I22" s="20">
        <v>1</v>
      </c>
      <c r="J22" s="22">
        <v>0</v>
      </c>
      <c r="L22" s="115" t="s">
        <v>25</v>
      </c>
      <c r="M22" s="5" t="e" cm="1">
        <f t="array" aca="1" ref="M22" ca="1">[3]!GetBSOptionPortfolioPrice(B22:J26)</f>
        <v>#NAME?</v>
      </c>
      <c r="O22" s="115" t="s">
        <v>25</v>
      </c>
      <c r="P22" s="47" t="e" cm="1">
        <f t="array" aca="1" ref="P22" ca="1">[3]!GetMCEurOptionPortfolioPrice(B22:J26)</f>
        <v>#NAME?</v>
      </c>
      <c r="R22" s="17">
        <v>1</v>
      </c>
      <c r="S22" s="29" t="s">
        <v>16</v>
      </c>
      <c r="T22" s="29" t="s">
        <v>29</v>
      </c>
      <c r="U22" s="29">
        <v>-100</v>
      </c>
      <c r="V22" s="43">
        <v>44989</v>
      </c>
      <c r="W22" s="32" t="s">
        <v>0</v>
      </c>
      <c r="X22" s="34">
        <v>0</v>
      </c>
      <c r="Z22" s="113" t="s">
        <v>25</v>
      </c>
      <c r="AA22" s="5" t="e" cm="1">
        <f t="array" aca="1" ref="AA22" ca="1">[3]!GetOptionPortfolioPrice(R22:X26)</f>
        <v>#NAME?</v>
      </c>
    </row>
    <row r="23" spans="2:27" ht="15" thickBot="1" x14ac:dyDescent="0.35">
      <c r="B23" s="10">
        <v>0</v>
      </c>
      <c r="C23" s="23" t="s">
        <v>7</v>
      </c>
      <c r="D23" s="23" t="s">
        <v>31</v>
      </c>
      <c r="E23" s="23">
        <v>100</v>
      </c>
      <c r="F23" s="24">
        <v>0.2</v>
      </c>
      <c r="G23" s="24">
        <v>0.05</v>
      </c>
      <c r="H23" s="23">
        <v>100</v>
      </c>
      <c r="I23" s="23">
        <v>1</v>
      </c>
      <c r="J23" s="25">
        <v>0</v>
      </c>
      <c r="R23" s="18">
        <v>0</v>
      </c>
      <c r="S23" s="30" t="s">
        <v>20</v>
      </c>
      <c r="T23" s="30" t="s">
        <v>28</v>
      </c>
      <c r="U23" s="30">
        <v>100</v>
      </c>
      <c r="V23" s="44">
        <v>44989</v>
      </c>
      <c r="W23" s="6" t="s">
        <v>2</v>
      </c>
      <c r="X23" s="35">
        <v>0</v>
      </c>
    </row>
    <row r="24" spans="2:27" x14ac:dyDescent="0.3">
      <c r="B24" s="10">
        <v>0</v>
      </c>
      <c r="C24" s="23" t="s">
        <v>7</v>
      </c>
      <c r="D24" s="23" t="s">
        <v>31</v>
      </c>
      <c r="E24" s="23">
        <v>100</v>
      </c>
      <c r="F24" s="24">
        <v>0.2</v>
      </c>
      <c r="G24" s="24">
        <v>0.05</v>
      </c>
      <c r="H24" s="23">
        <v>100</v>
      </c>
      <c r="I24" s="23">
        <v>1</v>
      </c>
      <c r="J24" s="25">
        <v>0</v>
      </c>
      <c r="L24" s="116" t="s">
        <v>4</v>
      </c>
      <c r="M24" s="13" t="e" cm="1">
        <f t="array" aca="1" ref="M24" ca="1">[3]!GetDeltaOptionPortfolioBS(B22:J26)</f>
        <v>#NAME?</v>
      </c>
      <c r="R24" s="18">
        <v>0</v>
      </c>
      <c r="S24" s="30" t="s">
        <v>16</v>
      </c>
      <c r="T24" s="30" t="s">
        <v>29</v>
      </c>
      <c r="U24" s="30">
        <v>100</v>
      </c>
      <c r="V24" s="44">
        <v>44989</v>
      </c>
      <c r="W24" s="6" t="s">
        <v>0</v>
      </c>
      <c r="X24" s="35">
        <v>0</v>
      </c>
      <c r="Z24" s="116" t="s">
        <v>4</v>
      </c>
      <c r="AA24" s="13" t="e">
        <f t="array" aca="1" ref="AA24" ca="1">[3]!GetDeltaOptionPortfolio(R22:X26)</f>
        <v>#NAME?</v>
      </c>
    </row>
    <row r="25" spans="2:27" x14ac:dyDescent="0.3">
      <c r="B25" s="10">
        <v>0</v>
      </c>
      <c r="C25" s="23" t="s">
        <v>7</v>
      </c>
      <c r="D25" s="23" t="s">
        <v>32</v>
      </c>
      <c r="E25" s="23">
        <v>100</v>
      </c>
      <c r="F25" s="24">
        <v>0.01</v>
      </c>
      <c r="G25" s="24">
        <v>0.97</v>
      </c>
      <c r="H25" s="23">
        <v>100</v>
      </c>
      <c r="I25" s="23">
        <v>3</v>
      </c>
      <c r="J25" s="25">
        <v>0</v>
      </c>
      <c r="L25" s="107" t="s">
        <v>5</v>
      </c>
      <c r="M25" s="14" t="e" cm="1">
        <f t="array" aca="1" ref="M25" ca="1">[3]!GetGammaOptionPortfolioBS(B22:J26)</f>
        <v>#NAME?</v>
      </c>
      <c r="R25" s="18">
        <v>0</v>
      </c>
      <c r="S25" s="30" t="s">
        <v>20</v>
      </c>
      <c r="T25" s="30" t="s">
        <v>28</v>
      </c>
      <c r="U25" s="30">
        <v>100</v>
      </c>
      <c r="V25" s="44">
        <v>44989</v>
      </c>
      <c r="W25" s="6" t="s">
        <v>2</v>
      </c>
      <c r="X25" s="35">
        <v>0</v>
      </c>
      <c r="Z25" s="107" t="s">
        <v>5</v>
      </c>
      <c r="AA25" s="14" t="e" cm="1">
        <f t="array" aca="1" ref="AA25" ca="1">[3]!GetGammaOptionPortfolio(R22:X26)</f>
        <v>#NAME?</v>
      </c>
    </row>
    <row r="26" spans="2:27" ht="15" thickBot="1" x14ac:dyDescent="0.35">
      <c r="B26" s="11">
        <v>0</v>
      </c>
      <c r="C26" s="26" t="s">
        <v>7</v>
      </c>
      <c r="D26" s="26" t="s">
        <v>32</v>
      </c>
      <c r="E26" s="26">
        <v>100</v>
      </c>
      <c r="F26" s="27">
        <v>0.01</v>
      </c>
      <c r="G26" s="27">
        <v>0.97</v>
      </c>
      <c r="H26" s="26">
        <v>100</v>
      </c>
      <c r="I26" s="26">
        <v>1</v>
      </c>
      <c r="J26" s="28">
        <v>0</v>
      </c>
      <c r="L26" s="107" t="s">
        <v>6</v>
      </c>
      <c r="M26" s="14" t="e" cm="1">
        <f t="array" aca="1" ref="M26" ca="1">[3]!GetThetaOptionPortfolioBS(B22:J26)</f>
        <v>#NAME?</v>
      </c>
      <c r="R26" s="19">
        <v>0</v>
      </c>
      <c r="S26" s="31" t="s">
        <v>16</v>
      </c>
      <c r="T26" s="31" t="s">
        <v>29</v>
      </c>
      <c r="U26" s="31">
        <v>100</v>
      </c>
      <c r="V26" s="45">
        <v>44989</v>
      </c>
      <c r="W26" s="33" t="s">
        <v>0</v>
      </c>
      <c r="X26" s="36">
        <v>0</v>
      </c>
      <c r="Z26" s="107" t="s">
        <v>6</v>
      </c>
      <c r="AA26" s="14" t="e" cm="1">
        <f t="array" aca="1" ref="AA26" ca="1">[3]!GetThetaOptionPortfolio(R22:X26)</f>
        <v>#NAME?</v>
      </c>
    </row>
    <row r="27" spans="2:27" ht="15" thickBot="1" x14ac:dyDescent="0.35">
      <c r="L27" s="117" t="s">
        <v>26</v>
      </c>
      <c r="M27" s="15" t="e" cm="1">
        <f t="array" aca="1" ref="M27" ca="1">[3]!GetVegaOptionPortfolioBS(B22:J26)</f>
        <v>#NAME?</v>
      </c>
      <c r="Z27" s="117" t="s">
        <v>26</v>
      </c>
      <c r="AA27" s="15" t="e" cm="1">
        <f t="array" aca="1" ref="AA27" ca="1">[3]!GetVegaOptionPortfolio(R22:X26)</f>
        <v>#NAME?</v>
      </c>
    </row>
  </sheetData>
  <mergeCells count="10">
    <mergeCell ref="C5:D5"/>
    <mergeCell ref="F5:G5"/>
    <mergeCell ref="B20:J20"/>
    <mergeCell ref="R20:X20"/>
    <mergeCell ref="U5:V5"/>
    <mergeCell ref="Z20:AA20"/>
    <mergeCell ref="L20:M20"/>
    <mergeCell ref="O20:P20"/>
    <mergeCell ref="R5:S5"/>
    <mergeCell ref="I5:J5"/>
  </mergeCells>
  <dataValidations count="3">
    <dataValidation allowBlank="1" showDropDown="1" showInputMessage="1" showErrorMessage="1" sqref="D16 S14 D7 S7" xr:uid="{8A9BE13E-5E16-477A-A019-24A7ADD4DD1B}"/>
    <dataValidation type="list" allowBlank="1" showInputMessage="1" showErrorMessage="1" sqref="D8 C22:C26" xr:uid="{426DF4DD-476D-475B-A60B-D95D779F3813}">
      <formula1>optionFlag</formula1>
    </dataValidation>
    <dataValidation type="list" allowBlank="1" showInputMessage="1" showErrorMessage="1" sqref="D9 D22:D26" xr:uid="{F9C2E432-478D-472A-8B3F-1F7782C139EA}">
      <formula1>optionPosition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CurrentRegionCalculate">
                <anchor moveWithCells="1" sizeWithCells="1">
                  <from>
                    <xdr:col>8</xdr:col>
                    <xdr:colOff>45720</xdr:colOff>
                    <xdr:row>10</xdr:row>
                    <xdr:rowOff>76200</xdr:rowOff>
                  </from>
                  <to>
                    <xdr:col>10</xdr:col>
                    <xdr:colOff>480060</xdr:colOff>
                    <xdr:row>12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AC24F-C48F-4512-B812-D9C3760D66C7}">
  <sheetPr codeName="Feuil1"/>
  <dimension ref="B6:Q16"/>
  <sheetViews>
    <sheetView showGridLines="0" topLeftCell="A2" workbookViewId="0">
      <selection activeCell="F14" sqref="F14"/>
    </sheetView>
  </sheetViews>
  <sheetFormatPr baseColWidth="10" defaultRowHeight="14.4" x14ac:dyDescent="0.3"/>
  <cols>
    <col min="2" max="2" width="11.88671875" bestFit="1" customWidth="1"/>
  </cols>
  <sheetData>
    <row r="6" spans="2:17" ht="15" thickBot="1" x14ac:dyDescent="0.35"/>
    <row r="7" spans="2:17" ht="15" thickBot="1" x14ac:dyDescent="0.35">
      <c r="B7" s="110" t="s">
        <v>47</v>
      </c>
      <c r="C7" s="104">
        <f>Parameter_Date</f>
        <v>45352</v>
      </c>
      <c r="D7" s="111"/>
      <c r="E7" s="112"/>
      <c r="F7" s="310" t="s">
        <v>48</v>
      </c>
      <c r="G7" s="311"/>
      <c r="H7" s="311"/>
      <c r="I7" s="311"/>
      <c r="J7" s="311"/>
      <c r="K7" s="311"/>
      <c r="L7" s="311"/>
      <c r="M7" s="311"/>
      <c r="N7" s="311"/>
      <c r="O7" s="311"/>
      <c r="P7" s="311"/>
      <c r="Q7" s="312"/>
    </row>
    <row r="8" spans="2:17" ht="21" thickBot="1" x14ac:dyDescent="0.35">
      <c r="B8" s="129" t="s">
        <v>49</v>
      </c>
      <c r="C8" s="130" t="s">
        <v>50</v>
      </c>
      <c r="D8" s="128" t="s">
        <v>51</v>
      </c>
      <c r="E8" s="129" t="s">
        <v>52</v>
      </c>
      <c r="F8" s="58" t="s">
        <v>53</v>
      </c>
      <c r="G8" s="59" t="s">
        <v>54</v>
      </c>
      <c r="H8" s="59" t="s">
        <v>55</v>
      </c>
      <c r="I8" s="59" t="s">
        <v>56</v>
      </c>
      <c r="J8" s="59" t="s">
        <v>57</v>
      </c>
      <c r="K8" s="59" t="s">
        <v>58</v>
      </c>
      <c r="L8" s="59" t="s">
        <v>59</v>
      </c>
      <c r="M8" s="59" t="s">
        <v>60</v>
      </c>
      <c r="N8" s="59" t="s">
        <v>61</v>
      </c>
      <c r="O8" s="59" t="s">
        <v>62</v>
      </c>
      <c r="P8" s="59" t="s">
        <v>63</v>
      </c>
      <c r="Q8" s="60" t="s">
        <v>64</v>
      </c>
    </row>
    <row r="9" spans="2:17" x14ac:dyDescent="0.3">
      <c r="B9" s="61" t="s">
        <v>65</v>
      </c>
      <c r="C9" s="62" t="s">
        <v>41</v>
      </c>
      <c r="D9" s="62">
        <v>165.5616</v>
      </c>
      <c r="E9" s="63">
        <v>6</v>
      </c>
      <c r="F9" s="64">
        <v>9.7800000000000005E-3</v>
      </c>
      <c r="G9" s="65">
        <v>1.034E-2</v>
      </c>
      <c r="H9" s="65">
        <v>1.1040000000000001E-2</v>
      </c>
      <c r="I9" s="65">
        <v>1.2070000000000001E-2</v>
      </c>
      <c r="J9" s="65">
        <v>1.3089999999999999E-2</v>
      </c>
      <c r="K9" s="65">
        <v>1.41E-2</v>
      </c>
      <c r="L9" s="65">
        <v>1.5089999999999999E-2</v>
      </c>
      <c r="M9" s="65">
        <v>1.6040000000000002E-2</v>
      </c>
      <c r="N9" s="65">
        <v>1.6979999999999999E-2</v>
      </c>
      <c r="O9" s="65">
        <v>1.787E-2</v>
      </c>
      <c r="P9" s="65">
        <v>2.1237499999999999E-2</v>
      </c>
      <c r="Q9" s="66">
        <v>2.3387500000000002E-2</v>
      </c>
    </row>
    <row r="10" spans="2:17" x14ac:dyDescent="0.3">
      <c r="B10" s="67" t="s">
        <v>66</v>
      </c>
      <c r="C10" s="68" t="s">
        <v>42</v>
      </c>
      <c r="D10" s="68">
        <v>1</v>
      </c>
      <c r="E10" s="69">
        <v>12</v>
      </c>
      <c r="F10" s="70">
        <v>4.6260000000000003E-2</v>
      </c>
      <c r="G10" s="71">
        <v>4.5110000000000004E-2</v>
      </c>
      <c r="H10" s="71">
        <v>4.4720000000000003E-2</v>
      </c>
      <c r="I10" s="71">
        <v>4.4595000000000003E-2</v>
      </c>
      <c r="J10" s="71">
        <v>4.4637900000000001E-2</v>
      </c>
      <c r="K10" s="71">
        <v>4.4790000000000003E-2</v>
      </c>
      <c r="L10" s="71">
        <v>4.5034999999999999E-2</v>
      </c>
      <c r="M10" s="71">
        <v>4.5289999999999997E-2</v>
      </c>
      <c r="N10" s="71">
        <v>4.5590099999999995E-2</v>
      </c>
      <c r="O10" s="71">
        <v>4.5885599999999999E-2</v>
      </c>
      <c r="P10" s="71">
        <v>4.7114099999999999E-2</v>
      </c>
      <c r="Q10" s="72">
        <v>4.7579999999999997E-2</v>
      </c>
    </row>
    <row r="11" spans="2:17" ht="15" thickBot="1" x14ac:dyDescent="0.35">
      <c r="B11" s="73" t="s">
        <v>67</v>
      </c>
      <c r="C11" s="74" t="s">
        <v>43</v>
      </c>
      <c r="D11" s="74">
        <v>1.4422999999999999</v>
      </c>
      <c r="E11" s="75">
        <v>12</v>
      </c>
      <c r="F11" s="76">
        <v>4.5525000000000003E-2</v>
      </c>
      <c r="G11" s="77">
        <v>4.4480000000000006E-2</v>
      </c>
      <c r="H11" s="77">
        <v>4.5114999999999995E-2</v>
      </c>
      <c r="I11" s="77">
        <v>4.6085000000000001E-2</v>
      </c>
      <c r="J11" s="77">
        <v>4.7004999999999998E-2</v>
      </c>
      <c r="K11" s="77">
        <v>4.7800000000000002E-2</v>
      </c>
      <c r="L11" s="77">
        <v>4.8494999999999996E-2</v>
      </c>
      <c r="M11" s="77">
        <v>4.9075000000000001E-2</v>
      </c>
      <c r="N11" s="77">
        <v>4.9610000000000001E-2</v>
      </c>
      <c r="O11" s="77">
        <v>5.008E-2</v>
      </c>
      <c r="P11" s="77">
        <v>5.1595000000000002E-2</v>
      </c>
      <c r="Q11" s="78">
        <v>5.2305000000000004E-2</v>
      </c>
    </row>
    <row r="12" spans="2:17" ht="15" thickBot="1" x14ac:dyDescent="0.35">
      <c r="B12" s="79"/>
      <c r="C12" s="79"/>
      <c r="D12" s="79"/>
      <c r="E12" s="79"/>
      <c r="F12" s="79"/>
      <c r="G12" s="79"/>
      <c r="H12" s="79"/>
      <c r="I12" s="79"/>
      <c r="J12" s="79"/>
      <c r="K12" s="79"/>
      <c r="L12" s="79"/>
      <c r="M12" s="79"/>
      <c r="N12" s="79"/>
      <c r="O12" s="79"/>
      <c r="P12" s="79"/>
      <c r="Q12" s="79"/>
    </row>
    <row r="13" spans="2:17" ht="15" thickBot="1" x14ac:dyDescent="0.35">
      <c r="B13" s="79"/>
      <c r="C13" s="79"/>
      <c r="D13" s="79"/>
      <c r="E13" s="79"/>
      <c r="F13" s="307" t="s">
        <v>68</v>
      </c>
      <c r="G13" s="308"/>
      <c r="H13" s="308"/>
      <c r="I13" s="308"/>
      <c r="J13" s="308"/>
      <c r="K13" s="308"/>
      <c r="L13" s="308"/>
      <c r="M13" s="308"/>
      <c r="N13" s="308"/>
      <c r="O13" s="308"/>
      <c r="P13" s="308"/>
      <c r="Q13" s="309"/>
    </row>
    <row r="14" spans="2:17" x14ac:dyDescent="0.3">
      <c r="B14" s="80" t="s">
        <v>65</v>
      </c>
      <c r="C14" s="81" t="s">
        <v>69</v>
      </c>
      <c r="D14" s="81" t="s">
        <v>69</v>
      </c>
      <c r="E14" s="125" t="s">
        <v>69</v>
      </c>
      <c r="F14" s="122">
        <f t="array" aca="1" ref="F14:Q14" ca="1">GetStripZC(C7,B9,F9:Q9,$F$8:$Q$8,E9,MATCH(C9,Swap_Convention,0)-1,D9)</f>
        <v>0.99029107708475339</v>
      </c>
      <c r="G14" s="82">
        <f ca="1"/>
        <v>0.97957846110014257</v>
      </c>
      <c r="H14" s="82">
        <f ca="1"/>
        <v>0.9674814056037363</v>
      </c>
      <c r="I14" s="82">
        <f ca="1"/>
        <v>0.95287057465265301</v>
      </c>
      <c r="J14" s="82">
        <f ca="1"/>
        <v>0.9365745088220242</v>
      </c>
      <c r="K14" s="82">
        <f ca="1"/>
        <v>0.91866420266619975</v>
      </c>
      <c r="L14" s="82">
        <f ca="1"/>
        <v>0.89930958235449032</v>
      </c>
      <c r="M14" s="82">
        <f ca="1"/>
        <v>0.8787540942804003</v>
      </c>
      <c r="N14" s="82">
        <f ca="1"/>
        <v>0.85700421876726918</v>
      </c>
      <c r="O14" s="82">
        <f ca="1"/>
        <v>0.83449599232833416</v>
      </c>
      <c r="P14" s="82">
        <f ca="1"/>
        <v>0.72139373258793171</v>
      </c>
      <c r="Q14" s="83">
        <f ca="1"/>
        <v>0.61570067178232346</v>
      </c>
    </row>
    <row r="15" spans="2:17" x14ac:dyDescent="0.3">
      <c r="B15" s="84" t="s">
        <v>66</v>
      </c>
      <c r="C15" s="79" t="s">
        <v>69</v>
      </c>
      <c r="D15" s="79" t="s">
        <v>69</v>
      </c>
      <c r="E15" s="126" t="s">
        <v>69</v>
      </c>
      <c r="F15" s="123">
        <f t="array" aca="1" ref="F15:Q15" ca="1">GetStripZC(C7,B10,F10:Q10,$F$8:$Q$8,E10,MATCH(C10,Swap_Convention,0)-1,D10)</f>
        <v>0.95578536289059479</v>
      </c>
      <c r="G15" s="86">
        <f ca="1"/>
        <v>0.91558257931649556</v>
      </c>
      <c r="H15" s="86">
        <f ca="1"/>
        <v>0.87708898982376104</v>
      </c>
      <c r="I15" s="86">
        <f ca="1"/>
        <v>0.83997394410480419</v>
      </c>
      <c r="J15" s="86">
        <f ca="1"/>
        <v>0.8039340591704861</v>
      </c>
      <c r="K15" s="86">
        <f ca="1"/>
        <v>0.76883008192597146</v>
      </c>
      <c r="L15" s="86">
        <f ca="1"/>
        <v>0.73448792966323007</v>
      </c>
      <c r="M15" s="86">
        <f ca="1"/>
        <v>0.70122600961293913</v>
      </c>
      <c r="N15" s="86">
        <f ca="1"/>
        <v>0.66875756018814092</v>
      </c>
      <c r="O15" s="86">
        <f ca="1"/>
        <v>0.63736470172235449</v>
      </c>
      <c r="P15" s="86">
        <f ca="1"/>
        <v>0.49787574377614846</v>
      </c>
      <c r="Q15" s="87">
        <f ca="1"/>
        <v>0.39031641245391557</v>
      </c>
    </row>
    <row r="16" spans="2:17" ht="15" thickBot="1" x14ac:dyDescent="0.35">
      <c r="B16" s="88" t="s">
        <v>67</v>
      </c>
      <c r="C16" s="89" t="s">
        <v>69</v>
      </c>
      <c r="D16" s="89" t="s">
        <v>69</v>
      </c>
      <c r="E16" s="127" t="s">
        <v>69</v>
      </c>
      <c r="F16" s="124">
        <f t="array" aca="1" ref="F16:Q16" ca="1">GetStripZC(C7,B11,F11:Q11,$F$8:$Q$8,E11,MATCH(C11,Swap_Convention,0)-1,D11)</f>
        <v>0.9558791988793085</v>
      </c>
      <c r="G16" s="90">
        <f ca="1"/>
        <v>0.91560041597046504</v>
      </c>
      <c r="H16" s="90">
        <f ca="1"/>
        <v>0.87439911368347478</v>
      </c>
      <c r="I16" s="90">
        <f ca="1"/>
        <v>0.83268478090473841</v>
      </c>
      <c r="J16" s="90">
        <f ca="1"/>
        <v>0.79161786092642983</v>
      </c>
      <c r="K16" s="90">
        <f ca="1"/>
        <v>0.75166488727904734</v>
      </c>
      <c r="L16" s="90">
        <f ca="1"/>
        <v>0.7129971446932416</v>
      </c>
      <c r="M16" s="90">
        <f ca="1"/>
        <v>0.67584474328012933</v>
      </c>
      <c r="N16" s="90">
        <f ca="1"/>
        <v>0.64011382073201317</v>
      </c>
      <c r="O16" s="90">
        <f ca="1"/>
        <v>0.6059375003307057</v>
      </c>
      <c r="P16" s="90">
        <f ca="1"/>
        <v>0.45931070306247429</v>
      </c>
      <c r="Q16" s="91">
        <f ca="1"/>
        <v>0.34828182340791536</v>
      </c>
    </row>
  </sheetData>
  <mergeCells count="2">
    <mergeCell ref="F13:Q13"/>
    <mergeCell ref="F7:Q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urrentRegionCalculate">
                <anchor moveWithCells="1" sizeWithCells="1">
                  <from>
                    <xdr:col>6</xdr:col>
                    <xdr:colOff>579120</xdr:colOff>
                    <xdr:row>18</xdr:row>
                    <xdr:rowOff>175260</xdr:rowOff>
                  </from>
                  <to>
                    <xdr:col>9</xdr:col>
                    <xdr:colOff>167640</xdr:colOff>
                    <xdr:row>21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24B6E0-72E1-4DD1-871B-2A40FF7CFE64}">
  <sheetPr codeName="Feuil5"/>
  <dimension ref="A1:AX361"/>
  <sheetViews>
    <sheetView showGridLines="0" zoomScale="107" workbookViewId="0">
      <selection activeCell="N14" sqref="N14"/>
    </sheetView>
  </sheetViews>
  <sheetFormatPr baseColWidth="10" defaultRowHeight="14.4" x14ac:dyDescent="0.3"/>
  <cols>
    <col min="2" max="2" width="30.44140625" bestFit="1" customWidth="1"/>
    <col min="17" max="17" width="13.88671875" customWidth="1"/>
  </cols>
  <sheetData>
    <row r="1" spans="1:50" ht="15" thickBot="1" x14ac:dyDescent="0.35">
      <c r="C1" t="str" cm="1">
        <f t="array" aca="1" ref="C1" ca="1">IF(OR(B12="",NOT($J$7)),"",StripDefaultProbability(A12,B12,Parameter_Date,CDSRollDate,E12:M12,SpreadCurveMaturities,D12,C12))</f>
        <v/>
      </c>
    </row>
    <row r="2" spans="1:50" ht="15" thickBot="1" x14ac:dyDescent="0.35">
      <c r="G2" s="310" t="s">
        <v>72</v>
      </c>
      <c r="H2" s="311"/>
      <c r="I2" s="311"/>
      <c r="J2" s="147" t="b">
        <v>1</v>
      </c>
    </row>
    <row r="3" spans="1:50" ht="15" thickBot="1" x14ac:dyDescent="0.35">
      <c r="J3" s="100"/>
    </row>
    <row r="4" spans="1:50" ht="15" thickBot="1" x14ac:dyDescent="0.35">
      <c r="G4" s="310" t="s">
        <v>73</v>
      </c>
      <c r="H4" s="311"/>
      <c r="I4" s="312"/>
      <c r="J4" s="142" t="b">
        <v>0</v>
      </c>
    </row>
    <row r="5" spans="1:50" ht="16.2" customHeight="1" thickBot="1" x14ac:dyDescent="0.35">
      <c r="J5" s="100"/>
    </row>
    <row r="6" spans="1:50" s="79" customFormat="1" ht="15.6" customHeight="1" thickBot="1" x14ac:dyDescent="0.25">
      <c r="B6" s="148" t="s">
        <v>70</v>
      </c>
      <c r="C6" s="316" t="b">
        <v>1</v>
      </c>
      <c r="D6" s="317"/>
      <c r="E6" s="85"/>
      <c r="F6" s="85"/>
      <c r="G6" s="310" t="s">
        <v>74</v>
      </c>
      <c r="H6" s="311"/>
      <c r="I6" s="312"/>
      <c r="J6" s="142" t="s">
        <v>422</v>
      </c>
      <c r="K6" s="85"/>
      <c r="L6" s="93"/>
      <c r="M6" s="85"/>
    </row>
    <row r="7" spans="1:50" s="79" customFormat="1" ht="13.5" customHeight="1" thickBot="1" x14ac:dyDescent="0.25">
      <c r="B7" s="149" t="s">
        <v>71</v>
      </c>
      <c r="C7" s="318">
        <f ca="1">GetCDSRefDate(Parameter_Date,C6)</f>
        <v>45371</v>
      </c>
      <c r="D7" s="319"/>
      <c r="E7" s="85"/>
      <c r="F7" s="85"/>
      <c r="L7" s="94"/>
      <c r="M7" s="85"/>
      <c r="N7" s="157" t="s">
        <v>87</v>
      </c>
      <c r="O7" s="157"/>
      <c r="P7" s="157"/>
      <c r="Q7" s="157"/>
      <c r="R7" s="157"/>
      <c r="S7" s="157"/>
      <c r="T7" s="157"/>
      <c r="U7" s="157"/>
      <c r="V7" s="157"/>
      <c r="W7" s="157"/>
      <c r="X7" s="157"/>
      <c r="Y7" s="157"/>
      <c r="Z7" s="157"/>
      <c r="AA7" s="157"/>
      <c r="AB7" s="157"/>
      <c r="AC7" s="157"/>
      <c r="AD7" s="157"/>
      <c r="AE7" s="157"/>
    </row>
    <row r="8" spans="1:50" s="79" customFormat="1" ht="10.8" thickBot="1" x14ac:dyDescent="0.25">
      <c r="B8" s="79" t="s">
        <v>75</v>
      </c>
      <c r="E8" s="85"/>
      <c r="F8" s="85"/>
      <c r="G8" s="85"/>
      <c r="H8" s="85"/>
      <c r="I8" s="85"/>
      <c r="J8" s="85"/>
      <c r="K8" s="85"/>
      <c r="L8" s="85"/>
      <c r="M8" s="85"/>
    </row>
    <row r="9" spans="1:50" s="79" customFormat="1" ht="13.5" customHeight="1" thickBot="1" x14ac:dyDescent="0.25">
      <c r="A9" s="151"/>
      <c r="B9" s="151"/>
      <c r="C9" s="151"/>
      <c r="D9" s="150"/>
      <c r="E9" s="310" t="s">
        <v>76</v>
      </c>
      <c r="F9" s="311"/>
      <c r="G9" s="311"/>
      <c r="H9" s="311"/>
      <c r="I9" s="311"/>
      <c r="J9" s="311"/>
      <c r="K9" s="311"/>
      <c r="L9" s="311"/>
      <c r="M9" s="312"/>
      <c r="N9" s="313" t="s">
        <v>77</v>
      </c>
      <c r="O9" s="314"/>
      <c r="P9" s="314"/>
      <c r="Q9" s="314"/>
      <c r="R9" s="314"/>
      <c r="S9" s="314"/>
      <c r="T9" s="314"/>
      <c r="U9" s="314"/>
      <c r="V9" s="315"/>
      <c r="W9" s="313" t="s">
        <v>78</v>
      </c>
      <c r="X9" s="314"/>
      <c r="Y9" s="314"/>
      <c r="Z9" s="314"/>
      <c r="AA9" s="314"/>
      <c r="AB9" s="314"/>
      <c r="AC9" s="314"/>
      <c r="AD9" s="314"/>
      <c r="AE9" s="315"/>
    </row>
    <row r="10" spans="1:50" s="79" customFormat="1" ht="15" customHeight="1" thickBot="1" x14ac:dyDescent="0.25">
      <c r="A10" s="189" t="s">
        <v>79</v>
      </c>
      <c r="B10" s="194" t="s">
        <v>80</v>
      </c>
      <c r="C10" s="193" t="s">
        <v>81</v>
      </c>
      <c r="D10" s="189" t="s">
        <v>82</v>
      </c>
      <c r="E10" s="111" t="s">
        <v>83</v>
      </c>
      <c r="F10" s="156" t="s">
        <v>84</v>
      </c>
      <c r="G10" s="156" t="s">
        <v>53</v>
      </c>
      <c r="H10" s="156" t="s">
        <v>54</v>
      </c>
      <c r="I10" s="156" t="s">
        <v>55</v>
      </c>
      <c r="J10" s="156" t="s">
        <v>56</v>
      </c>
      <c r="K10" s="156" t="s">
        <v>57</v>
      </c>
      <c r="L10" s="156" t="s">
        <v>59</v>
      </c>
      <c r="M10" s="112" t="s">
        <v>62</v>
      </c>
      <c r="N10" s="195" t="str">
        <f t="shared" ref="N10:V10" ca="1" si="0">IF(E10="","",E10)</f>
        <v>3M</v>
      </c>
      <c r="O10" s="173" t="str">
        <f t="shared" ca="1" si="0"/>
        <v>6M</v>
      </c>
      <c r="P10" s="173" t="str">
        <f t="shared" ca="1" si="0"/>
        <v>1Y</v>
      </c>
      <c r="Q10" s="173" t="str">
        <f t="shared" ca="1" si="0"/>
        <v>2Y</v>
      </c>
      <c r="R10" s="173" t="str">
        <f t="shared" ca="1" si="0"/>
        <v>3Y</v>
      </c>
      <c r="S10" s="173" t="str">
        <f t="shared" ca="1" si="0"/>
        <v>4Y</v>
      </c>
      <c r="T10" s="173" t="str">
        <f t="shared" ca="1" si="0"/>
        <v>5Y</v>
      </c>
      <c r="U10" s="173" t="str">
        <f t="shared" ca="1" si="0"/>
        <v>7Y</v>
      </c>
      <c r="V10" s="173" t="str">
        <f t="shared" ca="1" si="0"/>
        <v>10Y</v>
      </c>
      <c r="W10" s="195" t="str">
        <f t="shared" ref="W10:AE10" ca="1" si="1">IF(E10="","",E10)</f>
        <v>3M</v>
      </c>
      <c r="X10" s="173" t="str">
        <f t="shared" ca="1" si="1"/>
        <v>6M</v>
      </c>
      <c r="Y10" s="173" t="str">
        <f t="shared" ca="1" si="1"/>
        <v>1Y</v>
      </c>
      <c r="Z10" s="173" t="str">
        <f t="shared" ca="1" si="1"/>
        <v>2Y</v>
      </c>
      <c r="AA10" s="173" t="str">
        <f t="shared" ca="1" si="1"/>
        <v>3Y</v>
      </c>
      <c r="AB10" s="173" t="str">
        <f t="shared" ca="1" si="1"/>
        <v>4Y</v>
      </c>
      <c r="AC10" s="173" t="str">
        <f t="shared" ca="1" si="1"/>
        <v>5Y</v>
      </c>
      <c r="AD10" s="173" t="str">
        <f t="shared" ca="1" si="1"/>
        <v>7Y</v>
      </c>
      <c r="AE10" s="174" t="str">
        <f t="shared" ca="1" si="1"/>
        <v>10Y</v>
      </c>
    </row>
    <row r="11" spans="1:50" s="79" customFormat="1" ht="15" customHeight="1" thickBot="1" x14ac:dyDescent="0.25">
      <c r="A11" s="191"/>
      <c r="B11" s="192"/>
      <c r="C11" s="190" t="s">
        <v>85</v>
      </c>
      <c r="D11" s="193"/>
      <c r="E11" s="154" cm="1">
        <f t="array" aca="1" ref="E11" ca="1">IF(E10="","",GetConvertDate(CDSRollDate,E10))</f>
        <v>45463</v>
      </c>
      <c r="F11" s="154" cm="1">
        <f t="array" aca="1" ref="F11" ca="1">IF(F10="","",GetConvertDate(CDSRollDate,F10))</f>
        <v>45555</v>
      </c>
      <c r="G11" s="154" cm="1">
        <f t="array" aca="1" ref="G11" ca="1">IF(G10="","",GetConvertDate(CDSRollDate,G10))</f>
        <v>45736</v>
      </c>
      <c r="H11" s="154" cm="1">
        <f t="array" aca="1" ref="H11" ca="1">IF(H10="","",GetConvertDate(CDSRollDate,H10))</f>
        <v>46101</v>
      </c>
      <c r="I11" s="154" cm="1">
        <f t="array" aca="1" ref="I11" ca="1">IF(I10="","",GetConvertDate(CDSRollDate,I10))</f>
        <v>46466</v>
      </c>
      <c r="J11" s="154" cm="1">
        <f t="array" aca="1" ref="J11" ca="1">IF(J10="","",GetConvertDate(CDSRollDate,J10))</f>
        <v>46832</v>
      </c>
      <c r="K11" s="154" cm="1">
        <f t="array" aca="1" ref="K11" ca="1">IF(K10="","",GetConvertDate(CDSRollDate,K10))</f>
        <v>47197</v>
      </c>
      <c r="L11" s="154" cm="1">
        <f t="array" aca="1" ref="L11" ca="1">IF(L10="","",GetConvertDate(CDSRollDate,L10))</f>
        <v>47927</v>
      </c>
      <c r="M11" s="154" cm="1">
        <f t="array" aca="1" ref="M11" ca="1">IF(M10="","",GetConvertDate(CDSRollDate,M10))</f>
        <v>49023</v>
      </c>
      <c r="N11" s="153"/>
      <c r="O11" s="153"/>
      <c r="P11" s="153"/>
      <c r="Q11" s="153"/>
      <c r="R11" s="153"/>
      <c r="S11" s="153"/>
      <c r="T11" s="153"/>
      <c r="U11" s="153"/>
      <c r="V11" s="153"/>
      <c r="W11" s="152"/>
      <c r="X11" s="153"/>
      <c r="Y11" s="153"/>
      <c r="Z11" s="153"/>
      <c r="AA11" s="153"/>
      <c r="AB11" s="153"/>
      <c r="AC11" s="153"/>
      <c r="AD11" s="153"/>
      <c r="AE11" s="155"/>
    </row>
    <row r="12" spans="1:50" s="79" customFormat="1" ht="10.199999999999999" x14ac:dyDescent="0.2">
      <c r="A12" s="95">
        <v>1</v>
      </c>
      <c r="B12" s="62" t="s">
        <v>86</v>
      </c>
      <c r="C12" s="96">
        <v>0.4</v>
      </c>
      <c r="D12" s="63" t="s">
        <v>66</v>
      </c>
      <c r="E12" s="131"/>
      <c r="F12" s="132">
        <v>1.33E-3</v>
      </c>
      <c r="G12" s="132">
        <v>2E-3</v>
      </c>
      <c r="H12" s="132">
        <v>2.5999999999999999E-3</v>
      </c>
      <c r="I12" s="132">
        <v>3.16E-3</v>
      </c>
      <c r="J12" s="132"/>
      <c r="K12" s="133">
        <v>4.0000000000000001E-3</v>
      </c>
      <c r="L12" s="132">
        <v>4.4000000000000003E-3</v>
      </c>
      <c r="M12" s="132">
        <v>4.7999999999999996E-3</v>
      </c>
      <c r="N12" s="134">
        <f t="array" aca="1" ref="N12:AE12" ca="1">IF(OR(B12="",NOT($J$2)),"",GetStripDefaultProbability(A12,B12,Parameter_Date,CDSRollDate,E12:M12,SpreadCurveMaturities,D12,C12,$J$4,$J$6))</f>
        <v>0</v>
      </c>
      <c r="O12" s="225">
        <f ca="1"/>
        <v>1.2404012844239309E-3</v>
      </c>
      <c r="P12" s="135">
        <f ca="1"/>
        <v>3.5400159060319236E-3</v>
      </c>
      <c r="Q12" s="135">
        <f ca="1"/>
        <v>8.9822457457354732E-3</v>
      </c>
      <c r="R12" s="135">
        <f ca="1"/>
        <v>1.6271533496753809E-2</v>
      </c>
      <c r="S12" s="135">
        <f ca="1"/>
        <v>0</v>
      </c>
      <c r="T12" s="135">
        <f ca="1"/>
        <v>3.4149894726462682E-2</v>
      </c>
      <c r="U12" s="135">
        <f ca="1"/>
        <v>5.2197895656602711E-2</v>
      </c>
      <c r="V12" s="136">
        <f ca="1"/>
        <v>8.0630473961269433E-2</v>
      </c>
      <c r="W12" s="134">
        <f ca="1"/>
        <v>0</v>
      </c>
      <c r="X12" s="135">
        <f ca="1"/>
        <v>1.3335989897979017E-3</v>
      </c>
      <c r="Y12" s="135">
        <f ca="1"/>
        <v>3.7060787310921883E-3</v>
      </c>
      <c r="Z12" s="135">
        <f ca="1"/>
        <v>9.4115937404801731E-3</v>
      </c>
      <c r="AA12" s="135">
        <f ca="1"/>
        <v>1.7079595310452445E-2</v>
      </c>
      <c r="AB12" s="135">
        <f ca="1"/>
        <v>0</v>
      </c>
      <c r="AC12" s="135">
        <f ca="1"/>
        <v>3.5830004722917641E-2</v>
      </c>
      <c r="AD12" s="135">
        <f ca="1"/>
        <v>5.4744828617830477E-2</v>
      </c>
      <c r="AE12" s="136">
        <f ca="1"/>
        <v>8.4501838135477292E-2</v>
      </c>
      <c r="AG12" s="227"/>
      <c r="AH12" s="226"/>
      <c r="AI12" s="228"/>
      <c r="AJ12" s="137"/>
      <c r="AK12" s="137"/>
      <c r="AL12" s="137"/>
      <c r="AM12" s="137"/>
      <c r="AN12" s="137"/>
      <c r="AO12" s="137"/>
      <c r="AQ12" s="137"/>
      <c r="AR12" s="137"/>
      <c r="AS12" s="137"/>
      <c r="AT12" s="137"/>
      <c r="AV12" s="137"/>
      <c r="AW12" s="137"/>
      <c r="AX12" s="137"/>
    </row>
    <row r="13" spans="1:50" s="79" customFormat="1" ht="10.199999999999999" x14ac:dyDescent="0.2">
      <c r="A13" s="97">
        <v>2</v>
      </c>
      <c r="B13" s="68" t="s">
        <v>88</v>
      </c>
      <c r="C13" s="98">
        <v>0.4</v>
      </c>
      <c r="D13" s="69" t="s">
        <v>66</v>
      </c>
      <c r="E13" s="138" t="s">
        <v>87</v>
      </c>
      <c r="F13" s="158">
        <v>8.0000000000000004E-4</v>
      </c>
      <c r="G13" s="158">
        <v>1.1000000000000001E-3</v>
      </c>
      <c r="H13" s="158">
        <v>1.6000000000000001E-3</v>
      </c>
      <c r="I13" s="158">
        <v>2.3E-3</v>
      </c>
      <c r="J13" s="158" t="s">
        <v>87</v>
      </c>
      <c r="K13" s="158">
        <v>3.5999999999999999E-3</v>
      </c>
      <c r="L13" s="158">
        <v>4.3E-3</v>
      </c>
      <c r="M13" s="158">
        <v>5.3E-3</v>
      </c>
      <c r="N13" s="139" cm="1">
        <f t="array" aca="1" ref="N13:AE13" ca="1">IF(OR(B13="",NOT($J$2)),"",GetStripDefaultProbability(A13,B13,Parameter_Date,CDSRollDate,E13:M13,SpreadCurveMaturities,D13,C13,$J$4,$J$6))</f>
        <v>0</v>
      </c>
      <c r="O13" s="165">
        <f ca="1"/>
        <v>7.4629011945415158E-4</v>
      </c>
      <c r="P13" s="165">
        <f ca="1"/>
        <v>1.9466883168717253E-3</v>
      </c>
      <c r="Q13" s="165">
        <f ca="1"/>
        <v>5.5441786962386885E-3</v>
      </c>
      <c r="R13" s="165">
        <f ca="1"/>
        <v>1.1940299310519431E-2</v>
      </c>
      <c r="S13" s="165">
        <f ca="1"/>
        <v>0</v>
      </c>
      <c r="T13" s="165">
        <f ca="1"/>
        <v>3.1179898827013552E-2</v>
      </c>
      <c r="U13" s="165">
        <f ca="1"/>
        <v>5.1883837249731224E-2</v>
      </c>
      <c r="V13" s="140">
        <f ca="1"/>
        <v>9.1318550765790985E-2</v>
      </c>
      <c r="W13" s="139">
        <f ca="1"/>
        <v>0</v>
      </c>
      <c r="X13" s="165">
        <f ca="1"/>
        <v>8.3953601351138829E-4</v>
      </c>
      <c r="Y13" s="165">
        <f ca="1"/>
        <v>2.1130166744011136E-3</v>
      </c>
      <c r="Z13" s="165">
        <f ca="1"/>
        <v>5.8756087286079284E-3</v>
      </c>
      <c r="AA13" s="165">
        <f ca="1"/>
        <v>1.2527639802671686E-2</v>
      </c>
      <c r="AB13" s="165">
        <f ca="1"/>
        <v>0</v>
      </c>
      <c r="AC13" s="165">
        <f ca="1"/>
        <v>3.2710599846823896E-2</v>
      </c>
      <c r="AD13" s="165">
        <f ca="1"/>
        <v>5.4414321249935171E-2</v>
      </c>
      <c r="AE13" s="140">
        <f ca="1"/>
        <v>9.5688843602175999E-2</v>
      </c>
      <c r="AG13" s="228"/>
      <c r="AH13" s="137"/>
      <c r="AI13" s="137"/>
      <c r="AJ13" s="137"/>
      <c r="AK13" s="137"/>
      <c r="AL13" s="137"/>
      <c r="AM13" s="137"/>
      <c r="AN13" s="137"/>
      <c r="AO13" s="137"/>
      <c r="AQ13" s="137"/>
      <c r="AR13" s="137"/>
      <c r="AS13" s="137"/>
      <c r="AT13" s="137"/>
      <c r="AV13" s="137"/>
      <c r="AW13" s="137"/>
      <c r="AX13" s="137"/>
    </row>
    <row r="14" spans="1:50" s="79" customFormat="1" ht="10.199999999999999" x14ac:dyDescent="0.2">
      <c r="A14" s="97">
        <f t="shared" ref="A14:A77" ca="1" si="2">IF(B14="","",A13+1)</f>
        <v>3</v>
      </c>
      <c r="B14" s="68" t="s">
        <v>89</v>
      </c>
      <c r="C14" s="98">
        <v>0.4</v>
      </c>
      <c r="D14" s="69" t="s">
        <v>66</v>
      </c>
      <c r="E14" s="138" t="s">
        <v>87</v>
      </c>
      <c r="F14" s="158">
        <v>5.9999999999999995E-4</v>
      </c>
      <c r="G14" s="158">
        <v>1E-3</v>
      </c>
      <c r="H14" s="158">
        <v>1.8E-3</v>
      </c>
      <c r="I14" s="158">
        <v>2.7000000000000001E-3</v>
      </c>
      <c r="J14" s="158" t="s">
        <v>87</v>
      </c>
      <c r="K14" s="158">
        <v>4.0000000000000001E-3</v>
      </c>
      <c r="L14" s="158">
        <v>5.1000000000000004E-3</v>
      </c>
      <c r="M14" s="158">
        <v>6.1999999999999998E-3</v>
      </c>
      <c r="N14" s="139" cm="1">
        <f t="array" aca="1" ref="N14:AE14" ca="1">IF(OR(B14="",NOT($J$2)),"",GetStripDefaultProbability(A14,B14,Parameter_Date,CDSRollDate,E14:M14,SpreadCurveMaturities,D14,C14,$J$4,$J$6))</f>
        <v>0</v>
      </c>
      <c r="O14" s="165">
        <f ca="1"/>
        <v>5.5976970645477131E-4</v>
      </c>
      <c r="P14" s="165">
        <f ca="1"/>
        <v>1.7727980250115127E-3</v>
      </c>
      <c r="Q14" s="165">
        <f ca="1"/>
        <v>6.2575414603243118E-3</v>
      </c>
      <c r="R14" s="165">
        <f ca="1"/>
        <v>1.4046726664682541E-2</v>
      </c>
      <c r="S14" s="165">
        <f ca="1"/>
        <v>0</v>
      </c>
      <c r="T14" s="165">
        <f ca="1"/>
        <v>3.4561884531903675E-2</v>
      </c>
      <c r="U14" s="165">
        <f ca="1"/>
        <v>6.1637845753758524E-2</v>
      </c>
      <c r="V14" s="140">
        <f ca="1"/>
        <v>0.10628783210562942</v>
      </c>
      <c r="W14" s="139">
        <f ca="1"/>
        <v>0</v>
      </c>
      <c r="X14" s="165">
        <f ca="1"/>
        <v>6.5303351059242676E-4</v>
      </c>
      <c r="Y14" s="165">
        <f ca="1"/>
        <v>1.9391553618393065E-3</v>
      </c>
      <c r="Z14" s="165">
        <f ca="1"/>
        <v>6.5887337447287919E-3</v>
      </c>
      <c r="AA14" s="165">
        <f ca="1"/>
        <v>1.4739503519558883E-2</v>
      </c>
      <c r="AB14" s="165">
        <f ca="1"/>
        <v>0</v>
      </c>
      <c r="AC14" s="165">
        <f ca="1"/>
        <v>3.6257834643471099E-2</v>
      </c>
      <c r="AD14" s="165">
        <f ca="1"/>
        <v>6.4635101136812811E-2</v>
      </c>
      <c r="AE14" s="140">
        <f ca="1"/>
        <v>0.11137393883187929</v>
      </c>
      <c r="AH14" s="137"/>
      <c r="AI14" s="137"/>
      <c r="AJ14" s="137"/>
      <c r="AK14" s="137"/>
      <c r="AM14" s="137"/>
      <c r="AN14" s="137"/>
      <c r="AO14" s="137"/>
      <c r="AQ14" s="137"/>
      <c r="AR14" s="137"/>
      <c r="AS14" s="137"/>
      <c r="AT14" s="137"/>
      <c r="AV14" s="137"/>
      <c r="AW14" s="137"/>
      <c r="AX14" s="137"/>
    </row>
    <row r="15" spans="1:50" s="79" customFormat="1" ht="10.199999999999999" x14ac:dyDescent="0.2">
      <c r="A15" s="97">
        <f t="shared" ca="1" si="2"/>
        <v>4</v>
      </c>
      <c r="B15" s="68" t="s">
        <v>90</v>
      </c>
      <c r="C15" s="98">
        <v>0.4</v>
      </c>
      <c r="D15" s="69" t="s">
        <v>66</v>
      </c>
      <c r="E15" s="138" t="s">
        <v>87</v>
      </c>
      <c r="F15" s="158">
        <v>1.2600000000000001E-3</v>
      </c>
      <c r="G15" s="158">
        <v>1.7700000000000001E-3</v>
      </c>
      <c r="H15" s="158">
        <v>2.3999999999999998E-3</v>
      </c>
      <c r="I15" s="158">
        <v>2.9099999999999998E-3</v>
      </c>
      <c r="J15" s="158" t="s">
        <v>87</v>
      </c>
      <c r="K15" s="158">
        <v>3.8E-3</v>
      </c>
      <c r="L15" s="158">
        <v>4.2599999999999999E-3</v>
      </c>
      <c r="M15" s="158">
        <v>4.5999999999999999E-3</v>
      </c>
      <c r="N15" s="139" cm="1">
        <f t="array" aca="1" ref="N15:AE15" ca="1">IF(OR(B15="",NOT($J$2)),"",GetStripDefaultProbability(A15,B15,Parameter_Date,CDSRollDate,E15:M15,SpreadCurveMaturities,D15,C15,$J$4,$J$6))</f>
        <v>0</v>
      </c>
      <c r="O15" s="165">
        <f ca="1"/>
        <v>1.1751552909645691E-3</v>
      </c>
      <c r="P15" s="165">
        <f ca="1"/>
        <v>3.1314638345909529E-3</v>
      </c>
      <c r="Q15" s="165">
        <f ca="1"/>
        <v>8.2978213951587776E-3</v>
      </c>
      <c r="R15" s="165">
        <f ca="1"/>
        <v>1.4994944024308676E-2</v>
      </c>
      <c r="S15" s="165">
        <f ca="1"/>
        <v>0</v>
      </c>
      <c r="T15" s="165">
        <f ca="1"/>
        <v>3.2522851518533846E-2</v>
      </c>
      <c r="U15" s="165">
        <f ca="1"/>
        <v>5.0734092031608502E-2</v>
      </c>
      <c r="V15" s="140">
        <f ca="1"/>
        <v>7.7409330786545549E-2</v>
      </c>
      <c r="W15" s="139">
        <f ca="1"/>
        <v>0</v>
      </c>
      <c r="X15" s="165">
        <f ca="1"/>
        <v>1.2683594227894668E-3</v>
      </c>
      <c r="Y15" s="165">
        <f ca="1"/>
        <v>3.2975947459934485E-3</v>
      </c>
      <c r="Z15" s="165">
        <f ca="1"/>
        <v>8.6944229410084173E-3</v>
      </c>
      <c r="AA15" s="165">
        <f ca="1"/>
        <v>1.5739147048038249E-2</v>
      </c>
      <c r="AB15" s="165">
        <f ca="1"/>
        <v>0</v>
      </c>
      <c r="AC15" s="165">
        <f ca="1"/>
        <v>3.4123528036976492E-2</v>
      </c>
      <c r="AD15" s="165">
        <f ca="1"/>
        <v>5.3211502279717715E-2</v>
      </c>
      <c r="AE15" s="140">
        <f ca="1"/>
        <v>8.1132256360339494E-2</v>
      </c>
      <c r="AH15" s="137"/>
      <c r="AI15" s="137"/>
      <c r="AJ15" s="137"/>
      <c r="AK15" s="137"/>
      <c r="AL15" s="141"/>
      <c r="AM15" s="137"/>
      <c r="AN15" s="137"/>
      <c r="AO15" s="137"/>
      <c r="AQ15" s="137"/>
      <c r="AR15" s="137"/>
      <c r="AS15" s="137"/>
      <c r="AT15" s="137"/>
      <c r="AV15" s="137"/>
      <c r="AW15" s="137"/>
      <c r="AX15" s="137"/>
    </row>
    <row r="16" spans="1:50" s="79" customFormat="1" ht="10.199999999999999" x14ac:dyDescent="0.2">
      <c r="A16" s="97">
        <f t="shared" ca="1" si="2"/>
        <v>5</v>
      </c>
      <c r="B16" s="68" t="s">
        <v>93</v>
      </c>
      <c r="C16" s="98">
        <v>0.4</v>
      </c>
      <c r="D16" s="69" t="s">
        <v>66</v>
      </c>
      <c r="E16" s="138" t="s">
        <v>87</v>
      </c>
      <c r="F16" s="158">
        <v>5.0000000000000001E-4</v>
      </c>
      <c r="G16" s="158">
        <v>5.9999999999999995E-4</v>
      </c>
      <c r="H16" s="158">
        <v>1.1000000000000001E-3</v>
      </c>
      <c r="I16" s="158">
        <v>1.5E-3</v>
      </c>
      <c r="J16" s="158" t="s">
        <v>87</v>
      </c>
      <c r="K16" s="158">
        <v>2.5000000000000001E-3</v>
      </c>
      <c r="L16" s="158">
        <v>3.2000000000000002E-3</v>
      </c>
      <c r="M16" s="158">
        <v>3.8999999999999998E-3</v>
      </c>
      <c r="N16" s="139" cm="1">
        <f t="array" aca="1" ref="N16:AE16" ca="1">IF(OR(B16="",NOT($J$2)),"",GetStripDefaultProbability(A16,B16,Parameter_Date,CDSRollDate,E16:M16,SpreadCurveMaturities,D16,C16,$J$4,$J$6))</f>
        <v>0</v>
      </c>
      <c r="O16" s="165">
        <f ca="1"/>
        <v>4.6649647376628689E-4</v>
      </c>
      <c r="P16" s="165">
        <f ca="1"/>
        <v>1.0607776163944482E-3</v>
      </c>
      <c r="Q16" s="165">
        <f ca="1"/>
        <v>3.8250450870591646E-3</v>
      </c>
      <c r="R16" s="165">
        <f ca="1"/>
        <v>7.7974967256855265E-3</v>
      </c>
      <c r="S16" s="165">
        <f ca="1"/>
        <v>0</v>
      </c>
      <c r="T16" s="165">
        <f ca="1"/>
        <v>2.1776480793529007E-2</v>
      </c>
      <c r="U16" s="165">
        <f ca="1"/>
        <v>3.9083994841446312E-2</v>
      </c>
      <c r="V16" s="140">
        <f ca="1"/>
        <v>6.7986953873436007E-2</v>
      </c>
      <c r="W16" s="139">
        <f ca="1"/>
        <v>0</v>
      </c>
      <c r="X16" s="165">
        <f ca="1"/>
        <v>5.5976917815403482E-4</v>
      </c>
      <c r="Y16" s="165">
        <f ca="1"/>
        <v>1.2272536134083634E-3</v>
      </c>
      <c r="Z16" s="165">
        <f ca="1"/>
        <v>4.1570480684750555E-3</v>
      </c>
      <c r="AA16" s="165">
        <f ca="1"/>
        <v>8.2934739726792106E-3</v>
      </c>
      <c r="AB16" s="165">
        <f ca="1"/>
        <v>0</v>
      </c>
      <c r="AC16" s="165">
        <f ca="1"/>
        <v>2.2833442873337995E-2</v>
      </c>
      <c r="AD16" s="165">
        <f ca="1"/>
        <v>4.0985458552746823E-2</v>
      </c>
      <c r="AE16" s="140">
        <f ca="1"/>
        <v>7.1262805993483003E-2</v>
      </c>
      <c r="AH16" s="137"/>
      <c r="AI16" s="137"/>
      <c r="AJ16" s="137"/>
      <c r="AK16" s="137"/>
      <c r="AL16" s="141"/>
      <c r="AM16" s="137"/>
      <c r="AN16" s="137"/>
      <c r="AO16" s="137"/>
      <c r="AQ16" s="137"/>
      <c r="AR16" s="137"/>
      <c r="AS16" s="137"/>
      <c r="AT16" s="137"/>
      <c r="AV16" s="137"/>
      <c r="AW16" s="137"/>
      <c r="AX16" s="137"/>
    </row>
    <row r="17" spans="1:50" s="79" customFormat="1" ht="10.199999999999999" x14ac:dyDescent="0.2">
      <c r="A17" s="97">
        <f t="shared" ca="1" si="2"/>
        <v>6</v>
      </c>
      <c r="B17" s="68" t="s">
        <v>94</v>
      </c>
      <c r="C17" s="98">
        <v>0.4</v>
      </c>
      <c r="D17" s="69" t="s">
        <v>66</v>
      </c>
      <c r="E17" s="138" t="s">
        <v>87</v>
      </c>
      <c r="F17" s="158">
        <v>1.23E-3</v>
      </c>
      <c r="G17" s="158">
        <v>1.5900000000000001E-3</v>
      </c>
      <c r="H17" s="158">
        <v>2.2100000000000002E-3</v>
      </c>
      <c r="I17" s="158">
        <v>2.5200000000000001E-3</v>
      </c>
      <c r="J17" s="158" t="s">
        <v>87</v>
      </c>
      <c r="K17" s="158">
        <v>3.2000000000000002E-3</v>
      </c>
      <c r="L17" s="158">
        <v>3.63E-3</v>
      </c>
      <c r="M17" s="158">
        <v>4.1000000000000003E-3</v>
      </c>
      <c r="N17" s="139" cm="1">
        <f t="array" aca="1" ref="N17:AE17" ca="1">IF(OR(B17="",NOT($J$2)),"",GetStripDefaultProbability(A17,B17,Parameter_Date,CDSRollDate,E17:M17,SpreadCurveMaturities,D17,C17,$J$4,$J$6))</f>
        <v>0</v>
      </c>
      <c r="O17" s="165">
        <f ca="1"/>
        <v>1.1471914209082446E-3</v>
      </c>
      <c r="P17" s="165">
        <f ca="1"/>
        <v>2.8110686234553706E-3</v>
      </c>
      <c r="Q17" s="165">
        <f ca="1"/>
        <v>7.6438594270241689E-3</v>
      </c>
      <c r="R17" s="165">
        <f ca="1"/>
        <v>1.2966733458035895E-2</v>
      </c>
      <c r="S17" s="165">
        <f ca="1"/>
        <v>0</v>
      </c>
      <c r="T17" s="165">
        <f ca="1"/>
        <v>2.7373272155085893E-2</v>
      </c>
      <c r="U17" s="165">
        <f ca="1"/>
        <v>4.3347543379225417E-2</v>
      </c>
      <c r="V17" s="140">
        <f ca="1"/>
        <v>6.9735466923025902E-2</v>
      </c>
      <c r="W17" s="139">
        <f ca="1"/>
        <v>0</v>
      </c>
      <c r="X17" s="165">
        <f ca="1"/>
        <v>1.2403983010320641E-3</v>
      </c>
      <c r="Y17" s="165">
        <f ca="1"/>
        <v>2.9772529296122618E-3</v>
      </c>
      <c r="Z17" s="165">
        <f ca="1"/>
        <v>8.0093099642051246E-3</v>
      </c>
      <c r="AA17" s="165">
        <f ca="1"/>
        <v>1.3609967819970148E-2</v>
      </c>
      <c r="AB17" s="165">
        <f ca="1"/>
        <v>0</v>
      </c>
      <c r="AC17" s="165">
        <f ca="1"/>
        <v>2.8722748402544851E-2</v>
      </c>
      <c r="AD17" s="165">
        <f ca="1"/>
        <v>4.5470657846186091E-2</v>
      </c>
      <c r="AE17" s="140">
        <f ca="1"/>
        <v>7.3104216047101933E-2</v>
      </c>
      <c r="AH17" s="137"/>
      <c r="AI17" s="137"/>
      <c r="AJ17" s="137"/>
      <c r="AK17" s="137"/>
      <c r="AL17" s="141"/>
      <c r="AM17" s="137"/>
      <c r="AN17" s="137"/>
      <c r="AO17" s="137"/>
      <c r="AQ17" s="137"/>
      <c r="AR17" s="137"/>
      <c r="AS17" s="137"/>
      <c r="AT17" s="137"/>
      <c r="AV17" s="137"/>
      <c r="AW17" s="137"/>
      <c r="AX17" s="137"/>
    </row>
    <row r="18" spans="1:50" s="79" customFormat="1" ht="10.199999999999999" x14ac:dyDescent="0.2">
      <c r="A18" s="97">
        <f t="shared" ca="1" si="2"/>
        <v>7</v>
      </c>
      <c r="B18" s="68" t="s">
        <v>95</v>
      </c>
      <c r="C18" s="98">
        <v>0.4</v>
      </c>
      <c r="D18" s="69" t="s">
        <v>66</v>
      </c>
      <c r="E18" s="138" t="s">
        <v>87</v>
      </c>
      <c r="F18" s="158">
        <v>5.0000000000000001E-4</v>
      </c>
      <c r="G18" s="158">
        <v>1.4E-3</v>
      </c>
      <c r="H18" s="158">
        <v>2.3999999999999998E-3</v>
      </c>
      <c r="I18" s="158">
        <v>3.5000000000000001E-3</v>
      </c>
      <c r="J18" s="158" t="s">
        <v>87</v>
      </c>
      <c r="K18" s="158">
        <v>5.7000000000000002E-3</v>
      </c>
      <c r="L18" s="158">
        <v>7.0000000000000001E-3</v>
      </c>
      <c r="M18" s="158">
        <v>8.5000000000000006E-3</v>
      </c>
      <c r="N18" s="139" cm="1">
        <f t="array" aca="1" ref="N18:AE18" ca="1">IF(OR(B18="",NOT($J$2)),"",GetStripDefaultProbability(A18,B18,Parameter_Date,CDSRollDate,E18:M18,SpreadCurveMaturities,D18,C18,$J$4,$J$6))</f>
        <v>0</v>
      </c>
      <c r="O18" s="165">
        <f ca="1"/>
        <v>4.6649647376628689E-4</v>
      </c>
      <c r="P18" s="165">
        <f ca="1"/>
        <v>2.4892140101887561E-3</v>
      </c>
      <c r="Q18" s="165">
        <f ca="1"/>
        <v>8.3400155545912957E-3</v>
      </c>
      <c r="R18" s="165">
        <f ca="1"/>
        <v>1.8171238653451272E-2</v>
      </c>
      <c r="S18" s="165">
        <f ca="1"/>
        <v>0</v>
      </c>
      <c r="T18" s="165">
        <f ca="1"/>
        <v>4.9184701510408657E-2</v>
      </c>
      <c r="U18" s="165">
        <f ca="1"/>
        <v>8.3801247186317096E-2</v>
      </c>
      <c r="V18" s="140">
        <f ca="1"/>
        <v>0.14343632908051007</v>
      </c>
      <c r="W18" s="139">
        <f ca="1"/>
        <v>0</v>
      </c>
      <c r="X18" s="165">
        <f ca="1"/>
        <v>5.5976917815403482E-4</v>
      </c>
      <c r="Y18" s="165">
        <f ca="1"/>
        <v>2.6554519543122712E-3</v>
      </c>
      <c r="Z18" s="165">
        <f ca="1"/>
        <v>8.7366002261297648E-3</v>
      </c>
      <c r="AA18" s="165">
        <f ca="1"/>
        <v>1.9070609186402465E-2</v>
      </c>
      <c r="AB18" s="165">
        <f ca="1"/>
        <v>0</v>
      </c>
      <c r="AC18" s="165">
        <f ca="1"/>
        <v>5.1588169561016195E-2</v>
      </c>
      <c r="AD18" s="165">
        <f ca="1"/>
        <v>8.7841923263367816E-2</v>
      </c>
      <c r="AE18" s="140">
        <f ca="1"/>
        <v>0.15019441873328643</v>
      </c>
      <c r="AH18" s="137"/>
      <c r="AI18" s="137"/>
      <c r="AJ18" s="137"/>
      <c r="AK18" s="137"/>
      <c r="AL18" s="141"/>
      <c r="AM18" s="137"/>
      <c r="AN18" s="137"/>
      <c r="AO18" s="137"/>
      <c r="AQ18" s="137"/>
      <c r="AR18" s="137"/>
      <c r="AS18" s="137"/>
      <c r="AT18" s="137"/>
      <c r="AV18" s="137"/>
      <c r="AW18" s="137"/>
      <c r="AX18" s="137"/>
    </row>
    <row r="19" spans="1:50" s="79" customFormat="1" ht="10.199999999999999" x14ac:dyDescent="0.2">
      <c r="A19" s="97">
        <f t="shared" ca="1" si="2"/>
        <v>8</v>
      </c>
      <c r="B19" s="68" t="s">
        <v>96</v>
      </c>
      <c r="C19" s="98">
        <v>0.4</v>
      </c>
      <c r="D19" s="69" t="s">
        <v>66</v>
      </c>
      <c r="E19" s="138" t="s">
        <v>87</v>
      </c>
      <c r="F19" s="158">
        <v>1.2999999999999999E-3</v>
      </c>
      <c r="G19" s="158">
        <v>1.4E-3</v>
      </c>
      <c r="H19" s="158">
        <v>2.5999999999999999E-3</v>
      </c>
      <c r="I19" s="158">
        <v>3.3E-3</v>
      </c>
      <c r="J19" s="158" t="s">
        <v>87</v>
      </c>
      <c r="K19" s="158">
        <v>5.1999999999999998E-3</v>
      </c>
      <c r="L19" s="158">
        <v>6.6E-3</v>
      </c>
      <c r="M19" s="158">
        <v>7.9000000000000008E-3</v>
      </c>
      <c r="N19" s="139" cm="1">
        <f t="array" aca="1" ref="N19:AE19" ca="1">IF(OR(B19="",NOT($J$2)),"",GetStripDefaultProbability(A19,B19,Parameter_Date,CDSRollDate,E19:M19,SpreadCurveMaturities,D19,C19,$J$4,$J$6))</f>
        <v>0</v>
      </c>
      <c r="O19" s="165">
        <f ca="1"/>
        <v>1.2124392363684899E-3</v>
      </c>
      <c r="P19" s="165">
        <f ca="1"/>
        <v>2.470424881882316E-3</v>
      </c>
      <c r="Q19" s="165">
        <f ca="1"/>
        <v>9.0217889452296474E-3</v>
      </c>
      <c r="R19" s="165">
        <f ca="1"/>
        <v>1.7054881896530705E-2</v>
      </c>
      <c r="S19" s="165">
        <f ca="1"/>
        <v>0</v>
      </c>
      <c r="T19" s="165">
        <f ca="1"/>
        <v>4.4786188535010152E-2</v>
      </c>
      <c r="U19" s="165">
        <f ca="1"/>
        <v>7.9237571382676286E-2</v>
      </c>
      <c r="V19" s="140">
        <f ca="1"/>
        <v>0.13362784571321717</v>
      </c>
      <c r="W19" s="139">
        <f ca="1"/>
        <v>0</v>
      </c>
      <c r="X19" s="165">
        <f ca="1"/>
        <v>1.3056396982709106E-3</v>
      </c>
      <c r="Y19" s="165">
        <f ca="1"/>
        <v>2.6366659572676365E-3</v>
      </c>
      <c r="Z19" s="165">
        <f ca="1"/>
        <v>9.4511198082648518E-3</v>
      </c>
      <c r="AA19" s="165">
        <f ca="1"/>
        <v>1.7899899538144859E-2</v>
      </c>
      <c r="AB19" s="165">
        <f ca="1"/>
        <v>0</v>
      </c>
      <c r="AC19" s="165">
        <f ca="1"/>
        <v>4.697901778172231E-2</v>
      </c>
      <c r="AD19" s="165">
        <f ca="1"/>
        <v>8.3066823179009153E-2</v>
      </c>
      <c r="AE19" s="140">
        <f ca="1"/>
        <v>0.13994938847885663</v>
      </c>
      <c r="AH19" s="137"/>
      <c r="AI19" s="137"/>
      <c r="AJ19" s="137"/>
      <c r="AK19" s="137"/>
      <c r="AL19" s="141"/>
      <c r="AM19" s="137"/>
      <c r="AN19" s="137"/>
      <c r="AO19" s="137"/>
      <c r="AQ19" s="137"/>
      <c r="AR19" s="137"/>
      <c r="AS19" s="137"/>
      <c r="AT19" s="137"/>
      <c r="AV19" s="137"/>
      <c r="AW19" s="137"/>
      <c r="AX19" s="137"/>
    </row>
    <row r="20" spans="1:50" s="79" customFormat="1" ht="10.199999999999999" x14ac:dyDescent="0.2">
      <c r="A20" s="97">
        <f t="shared" ca="1" si="2"/>
        <v>9</v>
      </c>
      <c r="B20" s="68" t="s">
        <v>97</v>
      </c>
      <c r="C20" s="98">
        <v>0.4</v>
      </c>
      <c r="D20" s="69" t="s">
        <v>66</v>
      </c>
      <c r="E20" s="138" t="s">
        <v>87</v>
      </c>
      <c r="F20" s="158">
        <v>2.9999999999999997E-4</v>
      </c>
      <c r="G20" s="158">
        <v>5.9999999999999995E-4</v>
      </c>
      <c r="H20" s="158">
        <v>1.1000000000000001E-3</v>
      </c>
      <c r="I20" s="158">
        <v>1.6000000000000001E-3</v>
      </c>
      <c r="J20" s="158" t="s">
        <v>87</v>
      </c>
      <c r="K20" s="158">
        <v>2.3E-3</v>
      </c>
      <c r="L20" s="158">
        <v>2.8E-3</v>
      </c>
      <c r="M20" s="158">
        <v>3.7000000000000002E-3</v>
      </c>
      <c r="N20" s="139" cm="1">
        <f t="array" aca="1" ref="N20:AE20" ca="1">IF(OR(B20="",NOT($J$2)),"",GetStripDefaultProbability(A20,B20,Parameter_Date,CDSRollDate,E20:M20,SpreadCurveMaturities,D20,C20,$J$4,$J$6))</f>
        <v>0</v>
      </c>
      <c r="O20" s="165">
        <f ca="1"/>
        <v>2.799239499720052E-4</v>
      </c>
      <c r="P20" s="165">
        <f ca="1"/>
        <v>1.0653449239070856E-3</v>
      </c>
      <c r="Q20" s="165">
        <f ca="1"/>
        <v>3.8296892655734771E-3</v>
      </c>
      <c r="R20" s="165">
        <f ca="1"/>
        <v>8.3357334086928692E-3</v>
      </c>
      <c r="S20" s="165">
        <f ca="1"/>
        <v>0</v>
      </c>
      <c r="T20" s="165">
        <f ca="1"/>
        <v>1.9947547966204793E-2</v>
      </c>
      <c r="U20" s="165">
        <f ca="1"/>
        <v>3.4017813043528133E-2</v>
      </c>
      <c r="V20" s="140">
        <f ca="1"/>
        <v>6.4994589950416848E-2</v>
      </c>
      <c r="W20" s="139">
        <f ca="1"/>
        <v>0</v>
      </c>
      <c r="X20" s="165">
        <f ca="1"/>
        <v>3.7321434723358582E-4</v>
      </c>
      <c r="Y20" s="165">
        <f ca="1"/>
        <v>1.2318201597600886E-3</v>
      </c>
      <c r="Z20" s="165">
        <f ca="1"/>
        <v>4.1616906991819302E-3</v>
      </c>
      <c r="AA20" s="165">
        <f ca="1"/>
        <v>8.8314416045934818E-3</v>
      </c>
      <c r="AB20" s="165">
        <f ca="1"/>
        <v>0</v>
      </c>
      <c r="AC20" s="165">
        <f ca="1"/>
        <v>2.091635773637146E-2</v>
      </c>
      <c r="AD20" s="165">
        <f ca="1"/>
        <v>3.5674404331119458E-2</v>
      </c>
      <c r="AE20" s="140">
        <f ca="1"/>
        <v>6.8131485394979374E-2</v>
      </c>
      <c r="AH20" s="137"/>
      <c r="AI20" s="137"/>
      <c r="AJ20" s="137"/>
      <c r="AK20" s="137"/>
      <c r="AL20" s="141"/>
      <c r="AM20" s="137"/>
      <c r="AN20" s="137"/>
      <c r="AO20" s="137"/>
      <c r="AQ20" s="137"/>
      <c r="AR20" s="137"/>
      <c r="AS20" s="137"/>
      <c r="AT20" s="137"/>
      <c r="AV20" s="137"/>
      <c r="AW20" s="137"/>
      <c r="AX20" s="137"/>
    </row>
    <row r="21" spans="1:50" s="79" customFormat="1" ht="10.199999999999999" x14ac:dyDescent="0.2">
      <c r="A21" s="97">
        <f t="shared" ca="1" si="2"/>
        <v>10</v>
      </c>
      <c r="B21" s="68" t="s">
        <v>98</v>
      </c>
      <c r="C21" s="98">
        <v>0.4</v>
      </c>
      <c r="D21" s="69" t="s">
        <v>66</v>
      </c>
      <c r="E21" s="138" t="s">
        <v>87</v>
      </c>
      <c r="F21" s="158">
        <v>1.1900000000000001E-3</v>
      </c>
      <c r="G21" s="158">
        <v>1.4300000000000001E-3</v>
      </c>
      <c r="H21" s="158">
        <v>1.91E-3</v>
      </c>
      <c r="I21" s="158">
        <v>2.32E-3</v>
      </c>
      <c r="J21" s="158" t="s">
        <v>87</v>
      </c>
      <c r="K21" s="158">
        <v>3.0999999999999999E-3</v>
      </c>
      <c r="L21" s="158">
        <v>3.5100000000000001E-3</v>
      </c>
      <c r="M21" s="158">
        <v>3.8999999999999998E-3</v>
      </c>
      <c r="N21" s="139" cm="1">
        <f t="array" aca="1" ref="N21:AE21" ca="1">IF(OR(B21="",NOT($J$2)),"",GetStripDefaultProbability(A21,B21,Parameter_Date,CDSRollDate,E21:M21,SpreadCurveMaturities,D21,C21,$J$4,$J$6))</f>
        <v>0</v>
      </c>
      <c r="O21" s="165">
        <f ca="1"/>
        <v>1.1099050460458004E-3</v>
      </c>
      <c r="P21" s="165">
        <f ca="1"/>
        <v>2.5265385813129093E-3</v>
      </c>
      <c r="Q21" s="165">
        <f ca="1"/>
        <v>6.6025121900717965E-3</v>
      </c>
      <c r="R21" s="165">
        <f ca="1"/>
        <v>1.1964435602471735E-2</v>
      </c>
      <c r="S21" s="165">
        <f ca="1"/>
        <v>0</v>
      </c>
      <c r="T21" s="165">
        <f ca="1"/>
        <v>2.6621505378629062E-2</v>
      </c>
      <c r="U21" s="165">
        <f ca="1"/>
        <v>4.202581836535213E-2</v>
      </c>
      <c r="V21" s="140">
        <f ca="1"/>
        <v>6.6341726751037666E-2</v>
      </c>
      <c r="W21" s="139">
        <f ca="1"/>
        <v>0</v>
      </c>
      <c r="X21" s="165">
        <f ca="1"/>
        <v>1.2031155852008091E-3</v>
      </c>
      <c r="Y21" s="165">
        <f ca="1"/>
        <v>2.6927703051808916E-3</v>
      </c>
      <c r="Z21" s="165">
        <f ca="1"/>
        <v>6.9335895033875161E-3</v>
      </c>
      <c r="AA21" s="165">
        <f ca="1"/>
        <v>1.2556798223608778E-2</v>
      </c>
      <c r="AB21" s="165">
        <f ca="1"/>
        <v>0</v>
      </c>
      <c r="AC21" s="165">
        <f ca="1"/>
        <v>2.7933337438693528E-2</v>
      </c>
      <c r="AD21" s="165">
        <f ca="1"/>
        <v>4.408462955311454E-2</v>
      </c>
      <c r="AE21" s="140">
        <f ca="1"/>
        <v>6.9550555683127069E-2</v>
      </c>
      <c r="AH21" s="137"/>
      <c r="AI21" s="137"/>
      <c r="AJ21" s="137"/>
      <c r="AK21" s="137"/>
      <c r="AL21" s="141"/>
      <c r="AM21" s="137"/>
      <c r="AN21" s="137"/>
      <c r="AO21" s="137"/>
      <c r="AQ21" s="137"/>
      <c r="AR21" s="137"/>
      <c r="AS21" s="137"/>
      <c r="AT21" s="137"/>
      <c r="AV21" s="137"/>
      <c r="AW21" s="137"/>
      <c r="AX21" s="137"/>
    </row>
    <row r="22" spans="1:50" s="79" customFormat="1" ht="10.199999999999999" x14ac:dyDescent="0.2">
      <c r="A22" s="97">
        <f t="shared" ca="1" si="2"/>
        <v>11</v>
      </c>
      <c r="B22" s="68" t="s">
        <v>99</v>
      </c>
      <c r="C22" s="98">
        <v>0.4</v>
      </c>
      <c r="D22" s="69" t="s">
        <v>66</v>
      </c>
      <c r="E22" s="138" t="s">
        <v>87</v>
      </c>
      <c r="F22" s="158">
        <v>1.25E-3</v>
      </c>
      <c r="G22" s="158">
        <v>1.6299999999999999E-3</v>
      </c>
      <c r="H22" s="158">
        <v>2.2599999999999999E-3</v>
      </c>
      <c r="I22" s="158">
        <v>2.64E-3</v>
      </c>
      <c r="J22" s="158" t="s">
        <v>87</v>
      </c>
      <c r="K22" s="158">
        <v>3.3999999999999998E-3</v>
      </c>
      <c r="L22" s="158">
        <v>3.8500000000000001E-3</v>
      </c>
      <c r="M22" s="158">
        <v>4.3E-3</v>
      </c>
      <c r="N22" s="139" cm="1">
        <f t="array" aca="1" ref="N22:AE22" ca="1">IF(OR(B22="",NOT($J$2)),"",GetStripDefaultProbability(A22,B22,Parameter_Date,CDSRollDate,E22:M22,SpreadCurveMaturities,D22,C22,$J$4,$J$6))</f>
        <v>0</v>
      </c>
      <c r="O22" s="165">
        <f ca="1"/>
        <v>1.1658340877146456E-3</v>
      </c>
      <c r="P22" s="165">
        <f ca="1"/>
        <v>2.881956877579861E-3</v>
      </c>
      <c r="Q22" s="165">
        <f ca="1"/>
        <v>7.8161697713864386E-3</v>
      </c>
      <c r="R22" s="165">
        <f ca="1"/>
        <v>1.3593227169914734E-2</v>
      </c>
      <c r="S22" s="165">
        <f ca="1"/>
        <v>0</v>
      </c>
      <c r="T22" s="165">
        <f ca="1"/>
        <v>2.9099166105397867E-2</v>
      </c>
      <c r="U22" s="165">
        <f ca="1"/>
        <v>4.5951640761258572E-2</v>
      </c>
      <c r="V22" s="140">
        <f ca="1"/>
        <v>7.2929362534303044E-2</v>
      </c>
      <c r="W22" s="139">
        <f ca="1"/>
        <v>0</v>
      </c>
      <c r="X22" s="165">
        <f ca="1"/>
        <v>1.259039136012996E-3</v>
      </c>
      <c r="Y22" s="165">
        <f ca="1"/>
        <v>3.0481293700130863E-3</v>
      </c>
      <c r="Z22" s="165">
        <f ca="1"/>
        <v>8.1898219718521403E-3</v>
      </c>
      <c r="AA22" s="165">
        <f ca="1"/>
        <v>1.4267631471160946E-2</v>
      </c>
      <c r="AB22" s="165">
        <f ca="1"/>
        <v>0</v>
      </c>
      <c r="AC22" s="165">
        <f ca="1"/>
        <v>3.0532932034481264E-2</v>
      </c>
      <c r="AD22" s="165">
        <f ca="1"/>
        <v>4.8199984101791604E-2</v>
      </c>
      <c r="AE22" s="140">
        <f ca="1"/>
        <v>7.6446496408236753E-2</v>
      </c>
      <c r="AH22" s="137"/>
      <c r="AI22" s="137"/>
      <c r="AJ22" s="137"/>
      <c r="AK22" s="137"/>
      <c r="AL22" s="141"/>
      <c r="AM22" s="137"/>
      <c r="AN22" s="137"/>
      <c r="AO22" s="137"/>
      <c r="AQ22" s="137"/>
      <c r="AR22" s="137"/>
      <c r="AS22" s="137"/>
      <c r="AT22" s="137"/>
      <c r="AV22" s="137"/>
      <c r="AW22" s="137"/>
      <c r="AX22" s="137"/>
    </row>
    <row r="23" spans="1:50" s="79" customFormat="1" ht="10.199999999999999" x14ac:dyDescent="0.2">
      <c r="A23" s="97">
        <f t="shared" ca="1" si="2"/>
        <v>12</v>
      </c>
      <c r="B23" s="68" t="s">
        <v>100</v>
      </c>
      <c r="C23" s="98">
        <v>0.4</v>
      </c>
      <c r="D23" s="69" t="s">
        <v>66</v>
      </c>
      <c r="E23" s="138" t="s">
        <v>87</v>
      </c>
      <c r="F23" s="158">
        <v>1.0499999999999999E-3</v>
      </c>
      <c r="G23" s="158">
        <v>2.0500000000000002E-3</v>
      </c>
      <c r="H23" s="158">
        <v>3.1099999999999999E-3</v>
      </c>
      <c r="I23" s="158">
        <v>3.6900000000000001E-3</v>
      </c>
      <c r="J23" s="158" t="s">
        <v>87</v>
      </c>
      <c r="K23" s="158">
        <v>4.4999999999999997E-3</v>
      </c>
      <c r="L23" s="158">
        <v>5.0499999999999998E-3</v>
      </c>
      <c r="M23" s="158">
        <v>5.5500000000000002E-3</v>
      </c>
      <c r="N23" s="139" cm="1">
        <f t="array" aca="1" ref="N23:AE23" ca="1">IF(OR(B23="",NOT($J$2)),"",GetStripDefaultProbability(A23,B23,Parameter_Date,CDSRollDate,E23:M23,SpreadCurveMaturities,D23,C23,$J$4,$J$6))</f>
        <v>0</v>
      </c>
      <c r="O23" s="165">
        <f ca="1"/>
        <v>9.7939180000472525E-4</v>
      </c>
      <c r="P23" s="165">
        <f ca="1"/>
        <v>3.6359075913581229E-3</v>
      </c>
      <c r="Q23" s="165">
        <f ca="1"/>
        <v>1.0772119152396953E-2</v>
      </c>
      <c r="R23" s="165">
        <f ca="1"/>
        <v>1.8998174036140569E-2</v>
      </c>
      <c r="S23" s="165">
        <f ca="1"/>
        <v>0</v>
      </c>
      <c r="T23" s="165">
        <f ca="1"/>
        <v>3.8288707034547231E-2</v>
      </c>
      <c r="U23" s="165">
        <f ca="1"/>
        <v>5.9782746309653301E-2</v>
      </c>
      <c r="V23" s="140">
        <f ca="1"/>
        <v>9.2905973654239693E-2</v>
      </c>
      <c r="W23" s="139">
        <f ca="1"/>
        <v>0</v>
      </c>
      <c r="X23" s="165">
        <f ca="1"/>
        <v>1.0726150971397397E-3</v>
      </c>
      <c r="Y23" s="165">
        <f ca="1"/>
        <v>3.8061052523383765E-3</v>
      </c>
      <c r="Z23" s="165">
        <f ca="1"/>
        <v>1.1307342994992586E-2</v>
      </c>
      <c r="AA23" s="165">
        <f ca="1"/>
        <v>1.9939347553398767E-2</v>
      </c>
      <c r="AB23" s="165">
        <f ca="1"/>
        <v>0</v>
      </c>
      <c r="AC23" s="165">
        <f ca="1"/>
        <v>4.0167018115234487E-2</v>
      </c>
      <c r="AD23" s="165">
        <f ca="1"/>
        <v>6.2687926276701167E-2</v>
      </c>
      <c r="AE23" s="140">
        <f ca="1"/>
        <v>9.7337580306126936E-2</v>
      </c>
      <c r="AH23" s="137"/>
      <c r="AI23" s="137"/>
      <c r="AJ23" s="137"/>
      <c r="AK23" s="137"/>
      <c r="AL23" s="141"/>
      <c r="AM23" s="137"/>
      <c r="AN23" s="137"/>
      <c r="AO23" s="137"/>
      <c r="AQ23" s="137"/>
      <c r="AR23" s="137"/>
      <c r="AS23" s="137"/>
      <c r="AT23" s="137"/>
      <c r="AV23" s="137"/>
      <c r="AW23" s="137"/>
      <c r="AX23" s="137"/>
    </row>
    <row r="24" spans="1:50" s="79" customFormat="1" ht="10.199999999999999" x14ac:dyDescent="0.2">
      <c r="A24" s="97">
        <f t="shared" ca="1" si="2"/>
        <v>13</v>
      </c>
      <c r="B24" s="68" t="s">
        <v>101</v>
      </c>
      <c r="C24" s="98">
        <v>0.4</v>
      </c>
      <c r="D24" s="69" t="s">
        <v>66</v>
      </c>
      <c r="E24" s="138" t="s">
        <v>87</v>
      </c>
      <c r="F24" s="158">
        <v>1.5399999999999999E-3</v>
      </c>
      <c r="G24" s="158">
        <v>2.3600000000000001E-3</v>
      </c>
      <c r="H24" s="158">
        <v>3.0799999999999998E-3</v>
      </c>
      <c r="I24" s="158">
        <v>3.3800000000000002E-3</v>
      </c>
      <c r="J24" s="158" t="s">
        <v>87</v>
      </c>
      <c r="K24" s="158">
        <v>4.0000000000000001E-3</v>
      </c>
      <c r="L24" s="158">
        <v>4.4000000000000003E-3</v>
      </c>
      <c r="M24" s="158">
        <v>5.0000000000000001E-3</v>
      </c>
      <c r="N24" s="139" cm="1">
        <f t="array" aca="1" ref="N24:AE24" ca="1">IF(OR(B24="",NOT($J$2)),"",GetStripDefaultProbability(A24,B24,Parameter_Date,CDSRollDate,E24:M24,SpreadCurveMaturities,D24,C24,$J$4,$J$6))</f>
        <v>0</v>
      </c>
      <c r="O24" s="165">
        <f ca="1"/>
        <v>1.4361137599120388E-3</v>
      </c>
      <c r="P24" s="165">
        <f ca="1"/>
        <v>4.1768415555392124E-3</v>
      </c>
      <c r="Q24" s="165">
        <f ca="1"/>
        <v>1.0634581505657437E-2</v>
      </c>
      <c r="R24" s="165">
        <f ca="1"/>
        <v>1.7327057390256195E-2</v>
      </c>
      <c r="S24" s="165">
        <f ca="1"/>
        <v>0</v>
      </c>
      <c r="T24" s="165">
        <f ca="1"/>
        <v>3.3947633938923305E-2</v>
      </c>
      <c r="U24" s="165">
        <f ca="1"/>
        <v>5.1996103221218504E-2</v>
      </c>
      <c r="V24" s="140">
        <f ca="1"/>
        <v>8.4239624408470326E-2</v>
      </c>
      <c r="W24" s="139">
        <f ca="1"/>
        <v>0</v>
      </c>
      <c r="X24" s="165">
        <f ca="1"/>
        <v>1.5292920702321133E-3</v>
      </c>
      <c r="Y24" s="165">
        <f ca="1"/>
        <v>4.3726675198481058E-3</v>
      </c>
      <c r="Z24" s="165">
        <f ca="1"/>
        <v>1.1163517062876216E-2</v>
      </c>
      <c r="AA24" s="165">
        <f ca="1"/>
        <v>1.8186214854268745E-2</v>
      </c>
      <c r="AB24" s="165">
        <f ca="1"/>
        <v>0</v>
      </c>
      <c r="AC24" s="165">
        <f ca="1"/>
        <v>3.561628636413372E-2</v>
      </c>
      <c r="AD24" s="165">
        <f ca="1"/>
        <v>5.4531204928288335E-2</v>
      </c>
      <c r="AE24" s="140">
        <f ca="1"/>
        <v>8.8276982821882122E-2</v>
      </c>
      <c r="AH24" s="137"/>
      <c r="AI24" s="137"/>
      <c r="AJ24" s="137"/>
      <c r="AK24" s="137"/>
      <c r="AL24" s="141"/>
      <c r="AM24" s="137"/>
      <c r="AN24" s="137"/>
      <c r="AO24" s="137"/>
      <c r="AQ24" s="137"/>
      <c r="AR24" s="137"/>
      <c r="AS24" s="137"/>
      <c r="AT24" s="137"/>
      <c r="AV24" s="137"/>
      <c r="AW24" s="137"/>
      <c r="AX24" s="137"/>
    </row>
    <row r="25" spans="1:50" s="79" customFormat="1" ht="10.199999999999999" x14ac:dyDescent="0.2">
      <c r="A25" s="97">
        <f t="shared" ca="1" si="2"/>
        <v>14</v>
      </c>
      <c r="B25" s="68" t="s">
        <v>102</v>
      </c>
      <c r="C25" s="98">
        <v>0.4</v>
      </c>
      <c r="D25" s="69" t="s">
        <v>66</v>
      </c>
      <c r="E25" s="138" t="s">
        <v>87</v>
      </c>
      <c r="F25" s="158">
        <v>5.0000000000000001E-4</v>
      </c>
      <c r="G25" s="158">
        <v>5.9999999999999995E-4</v>
      </c>
      <c r="H25" s="158">
        <v>8.0000000000000004E-4</v>
      </c>
      <c r="I25" s="158">
        <v>1.1999999999999999E-3</v>
      </c>
      <c r="J25" s="158" t="s">
        <v>87</v>
      </c>
      <c r="K25" s="158">
        <v>1.9E-3</v>
      </c>
      <c r="L25" s="158">
        <v>2.3999999999999998E-3</v>
      </c>
      <c r="M25" s="158">
        <v>3.0999999999999999E-3</v>
      </c>
      <c r="N25" s="139" cm="1">
        <f t="array" aca="1" ref="N25:AE25" ca="1">IF(OR(B25="",NOT($J$2)),"",GetStripDefaultProbability(A25,B25,Parameter_Date,CDSRollDate,E25:M25,SpreadCurveMaturities,D25,C25,$J$4,$J$6))</f>
        <v>0</v>
      </c>
      <c r="O25" s="165">
        <f ca="1"/>
        <v>4.6649647376628689E-4</v>
      </c>
      <c r="P25" s="165">
        <f ca="1"/>
        <v>1.0607776163944482E-3</v>
      </c>
      <c r="Q25" s="165">
        <f ca="1"/>
        <v>2.7698526332642359E-3</v>
      </c>
      <c r="R25" s="165">
        <f ca="1"/>
        <v>6.2447048496466762E-3</v>
      </c>
      <c r="S25" s="165">
        <f ca="1"/>
        <v>0</v>
      </c>
      <c r="T25" s="165">
        <f ca="1"/>
        <v>1.6550671667185379E-2</v>
      </c>
      <c r="U25" s="165">
        <f ca="1"/>
        <v>2.9353571179531412E-2</v>
      </c>
      <c r="V25" s="140">
        <f ca="1"/>
        <v>5.4649915188511367E-2</v>
      </c>
      <c r="W25" s="139">
        <f ca="1"/>
        <v>0</v>
      </c>
      <c r="X25" s="165">
        <f ca="1"/>
        <v>5.5976917815403482E-4</v>
      </c>
      <c r="Y25" s="165">
        <f ca="1"/>
        <v>1.2272536134083634E-3</v>
      </c>
      <c r="Z25" s="165">
        <f ca="1"/>
        <v>3.102207286869274E-3</v>
      </c>
      <c r="AA25" s="165">
        <f ca="1"/>
        <v>6.7414582985243499E-3</v>
      </c>
      <c r="AB25" s="165">
        <f ca="1"/>
        <v>0</v>
      </c>
      <c r="AC25" s="165">
        <f ca="1"/>
        <v>1.7369871393503877E-2</v>
      </c>
      <c r="AD25" s="165">
        <f ca="1"/>
        <v>3.077125352465826E-2</v>
      </c>
      <c r="AE25" s="140">
        <f ca="1"/>
        <v>5.7285075046636935E-2</v>
      </c>
      <c r="AH25" s="137"/>
      <c r="AI25" s="137"/>
      <c r="AJ25" s="137"/>
      <c r="AK25" s="137"/>
      <c r="AL25" s="141"/>
      <c r="AM25" s="137"/>
      <c r="AN25" s="137"/>
      <c r="AO25" s="137"/>
      <c r="AQ25" s="137"/>
      <c r="AR25" s="137"/>
      <c r="AS25" s="137"/>
      <c r="AT25" s="137"/>
      <c r="AV25" s="137"/>
      <c r="AW25" s="137"/>
      <c r="AX25" s="137"/>
    </row>
    <row r="26" spans="1:50" s="79" customFormat="1" ht="10.199999999999999" x14ac:dyDescent="0.2">
      <c r="A26" s="97">
        <f t="shared" ca="1" si="2"/>
        <v>15</v>
      </c>
      <c r="B26" s="68" t="s">
        <v>103</v>
      </c>
      <c r="C26" s="98">
        <v>0.4</v>
      </c>
      <c r="D26" s="69" t="s">
        <v>66</v>
      </c>
      <c r="E26" s="138" t="s">
        <v>87</v>
      </c>
      <c r="F26" s="158">
        <v>2.9999999999999997E-4</v>
      </c>
      <c r="G26" s="158">
        <v>8.9999999999999998E-4</v>
      </c>
      <c r="H26" s="158">
        <v>1.5E-3</v>
      </c>
      <c r="I26" s="158">
        <v>2E-3</v>
      </c>
      <c r="J26" s="158" t="s">
        <v>87</v>
      </c>
      <c r="K26" s="158">
        <v>3.3E-3</v>
      </c>
      <c r="L26" s="158">
        <v>4.1000000000000003E-3</v>
      </c>
      <c r="M26" s="158">
        <v>5.1999999999999998E-3</v>
      </c>
      <c r="N26" s="139" cm="1">
        <f t="array" aca="1" ref="N26:AE26" ca="1">IF(OR(B26="",NOT($J$2)),"",GetStripDefaultProbability(A26,B26,Parameter_Date,CDSRollDate,E26:M26,SpreadCurveMaturities,D26,C26,$J$4,$J$6))</f>
        <v>0</v>
      </c>
      <c r="O26" s="165">
        <f ca="1"/>
        <v>2.799239499720052E-4</v>
      </c>
      <c r="P26" s="165">
        <f ca="1"/>
        <v>1.6011691455609656E-3</v>
      </c>
      <c r="Q26" s="165">
        <f ca="1"/>
        <v>5.2171601468354867E-3</v>
      </c>
      <c r="R26" s="165">
        <f ca="1"/>
        <v>1.0383757488240386E-2</v>
      </c>
      <c r="S26" s="165">
        <f ca="1"/>
        <v>0</v>
      </c>
      <c r="T26" s="165">
        <f ca="1"/>
        <v>2.8662793561220035E-2</v>
      </c>
      <c r="U26" s="165">
        <f ca="1"/>
        <v>4.9744802138449562E-2</v>
      </c>
      <c r="V26" s="140">
        <f ca="1"/>
        <v>9.0213635945252335E-2</v>
      </c>
      <c r="W26" s="139">
        <f ca="1"/>
        <v>0</v>
      </c>
      <c r="X26" s="165">
        <f ca="1"/>
        <v>3.7321434723358582E-4</v>
      </c>
      <c r="Y26" s="165">
        <f ca="1"/>
        <v>1.7675550848285093E-3</v>
      </c>
      <c r="Z26" s="165">
        <f ca="1"/>
        <v>5.5486991672083485E-3</v>
      </c>
      <c r="AA26" s="165">
        <f ca="1"/>
        <v>1.0878441928091398E-2</v>
      </c>
      <c r="AB26" s="165">
        <f ca="1"/>
        <v>0</v>
      </c>
      <c r="AC26" s="165">
        <f ca="1"/>
        <v>3.0070064175570677E-2</v>
      </c>
      <c r="AD26" s="165">
        <f ca="1"/>
        <v>5.2173146616127375E-2</v>
      </c>
      <c r="AE26" s="140">
        <f ca="1"/>
        <v>9.456127707804296E-2</v>
      </c>
      <c r="AH26" s="137"/>
      <c r="AI26" s="137"/>
      <c r="AJ26" s="137"/>
      <c r="AK26" s="137"/>
      <c r="AL26" s="141"/>
      <c r="AM26" s="137"/>
      <c r="AN26" s="137"/>
      <c r="AO26" s="137"/>
      <c r="AQ26" s="137"/>
      <c r="AR26" s="137"/>
      <c r="AS26" s="137"/>
      <c r="AT26" s="137"/>
      <c r="AV26" s="137"/>
      <c r="AW26" s="137"/>
      <c r="AX26" s="137"/>
    </row>
    <row r="27" spans="1:50" s="79" customFormat="1" ht="10.199999999999999" x14ac:dyDescent="0.2">
      <c r="A27" s="97">
        <f t="shared" ca="1" si="2"/>
        <v>16</v>
      </c>
      <c r="B27" s="68" t="s">
        <v>104</v>
      </c>
      <c r="C27" s="98">
        <v>0.4</v>
      </c>
      <c r="D27" s="69" t="s">
        <v>66</v>
      </c>
      <c r="E27" s="138" t="s">
        <v>87</v>
      </c>
      <c r="F27" s="158">
        <v>5.9999999999999995E-4</v>
      </c>
      <c r="G27" s="158">
        <v>5.9999999999999995E-4</v>
      </c>
      <c r="H27" s="158">
        <v>1.1000000000000001E-3</v>
      </c>
      <c r="I27" s="158">
        <v>1.5E-3</v>
      </c>
      <c r="J27" s="158" t="s">
        <v>87</v>
      </c>
      <c r="K27" s="158">
        <v>2.5000000000000001E-3</v>
      </c>
      <c r="L27" s="158">
        <v>3.3E-3</v>
      </c>
      <c r="M27" s="158">
        <v>4.3E-3</v>
      </c>
      <c r="N27" s="139" cm="1">
        <f t="array" aca="1" ref="N27:AE27" ca="1">IF(OR(B27="",NOT($J$2)),"",GetStripDefaultProbability(A27,B27,Parameter_Date,CDSRollDate,E27:M27,SpreadCurveMaturities,D27,C27,$J$4,$J$6))</f>
        <v>0</v>
      </c>
      <c r="O27" s="165">
        <f ca="1"/>
        <v>5.5976970645477131E-4</v>
      </c>
      <c r="P27" s="165">
        <f ca="1"/>
        <v>1.0584942265940978E-3</v>
      </c>
      <c r="Q27" s="165">
        <f ca="1"/>
        <v>3.8227232114276255E-3</v>
      </c>
      <c r="R27" s="165">
        <f ca="1"/>
        <v>7.7951464416347038E-3</v>
      </c>
      <c r="S27" s="165">
        <f ca="1"/>
        <v>0</v>
      </c>
      <c r="T27" s="165">
        <f ca="1"/>
        <v>2.1774063476039718E-2</v>
      </c>
      <c r="U27" s="165">
        <f ca="1"/>
        <v>4.0384278239218863E-2</v>
      </c>
      <c r="V27" s="140">
        <f ca="1"/>
        <v>7.5508121516330018E-2</v>
      </c>
      <c r="W27" s="139">
        <f ca="1"/>
        <v>0</v>
      </c>
      <c r="X27" s="165">
        <f ca="1"/>
        <v>6.5303351059242676E-4</v>
      </c>
      <c r="Y27" s="165">
        <f ca="1"/>
        <v>1.2249706041407293E-3</v>
      </c>
      <c r="Z27" s="165">
        <f ca="1"/>
        <v>4.1547269666522002E-3</v>
      </c>
      <c r="AA27" s="165">
        <f ca="1"/>
        <v>8.291124863478827E-3</v>
      </c>
      <c r="AB27" s="165">
        <f ca="1"/>
        <v>0</v>
      </c>
      <c r="AC27" s="165">
        <f ca="1"/>
        <v>2.283101593685255E-2</v>
      </c>
      <c r="AD27" s="165">
        <f ca="1"/>
        <v>4.2349068844803273E-2</v>
      </c>
      <c r="AE27" s="140">
        <f ca="1"/>
        <v>7.9138726403094384E-2</v>
      </c>
      <c r="AH27" s="137"/>
      <c r="AI27" s="137"/>
      <c r="AJ27" s="137"/>
      <c r="AK27" s="137"/>
      <c r="AL27" s="141"/>
      <c r="AM27" s="137"/>
      <c r="AN27" s="137"/>
      <c r="AO27" s="137"/>
      <c r="AQ27" s="137"/>
      <c r="AR27" s="137"/>
      <c r="AS27" s="137"/>
      <c r="AT27" s="137"/>
      <c r="AV27" s="137"/>
      <c r="AW27" s="137"/>
      <c r="AX27" s="137"/>
    </row>
    <row r="28" spans="1:50" s="79" customFormat="1" ht="10.199999999999999" x14ac:dyDescent="0.2">
      <c r="A28" s="97">
        <f t="shared" ca="1" si="2"/>
        <v>17</v>
      </c>
      <c r="B28" s="68" t="s">
        <v>105</v>
      </c>
      <c r="C28" s="98">
        <v>0.4</v>
      </c>
      <c r="D28" s="69" t="s">
        <v>66</v>
      </c>
      <c r="E28" s="138" t="s">
        <v>87</v>
      </c>
      <c r="F28" s="158">
        <v>1.1299999999999999E-3</v>
      </c>
      <c r="G28" s="158">
        <v>1.83E-3</v>
      </c>
      <c r="H28" s="158">
        <v>2.63E-3</v>
      </c>
      <c r="I28" s="158">
        <v>2.8999999999999998E-3</v>
      </c>
      <c r="J28" s="158" t="s">
        <v>87</v>
      </c>
      <c r="K28" s="158">
        <v>3.3E-3</v>
      </c>
      <c r="L28" s="158">
        <v>3.65E-3</v>
      </c>
      <c r="M28" s="158">
        <v>4.1000000000000003E-3</v>
      </c>
      <c r="N28" s="139" cm="1">
        <f t="array" aca="1" ref="N28:AE28" ca="1">IF(OR(B28="",NOT($J$2)),"",GetStripDefaultProbability(A28,B28,Parameter_Date,CDSRollDate,E28:M28,SpreadCurveMaturities,D28,C28,$J$4,$J$6))</f>
        <v>0</v>
      </c>
      <c r="O28" s="165">
        <f ca="1"/>
        <v>1.0539728805090132E-3</v>
      </c>
      <c r="P28" s="165">
        <f ca="1"/>
        <v>3.2415864776104142E-3</v>
      </c>
      <c r="Q28" s="165">
        <f ca="1"/>
        <v>9.103246821393074E-3</v>
      </c>
      <c r="R28" s="165">
        <f ca="1"/>
        <v>1.4901894054654918E-2</v>
      </c>
      <c r="S28" s="165">
        <f ca="1"/>
        <v>0</v>
      </c>
      <c r="T28" s="165">
        <f ca="1"/>
        <v>2.8030205221128313E-2</v>
      </c>
      <c r="U28" s="165">
        <f ca="1"/>
        <v>4.3277775077527836E-2</v>
      </c>
      <c r="V28" s="140">
        <f ca="1"/>
        <v>6.9371836092243733E-2</v>
      </c>
      <c r="W28" s="139">
        <f ca="1"/>
        <v>0</v>
      </c>
      <c r="X28" s="165">
        <f ca="1"/>
        <v>1.1471888965925991E-3</v>
      </c>
      <c r="Y28" s="165">
        <f ca="1"/>
        <v>3.4076990367695181E-3</v>
      </c>
      <c r="Z28" s="165">
        <f ca="1"/>
        <v>9.5374947185958847E-3</v>
      </c>
      <c r="AA28" s="165">
        <f ca="1"/>
        <v>1.5641472712377036E-2</v>
      </c>
      <c r="AB28" s="165">
        <f ca="1"/>
        <v>0</v>
      </c>
      <c r="AC28" s="165">
        <f ca="1"/>
        <v>2.9411724727028798E-2</v>
      </c>
      <c r="AD28" s="165">
        <f ca="1"/>
        <v>4.5396466929959689E-2</v>
      </c>
      <c r="AE28" s="140">
        <f ca="1"/>
        <v>7.2721722623550367E-2</v>
      </c>
      <c r="AH28" s="137"/>
      <c r="AI28" s="137"/>
      <c r="AJ28" s="137"/>
      <c r="AK28" s="137"/>
      <c r="AL28" s="141"/>
      <c r="AM28" s="137"/>
      <c r="AN28" s="137"/>
      <c r="AO28" s="137"/>
      <c r="AQ28" s="137"/>
      <c r="AR28" s="137"/>
      <c r="AS28" s="137"/>
      <c r="AT28" s="137"/>
      <c r="AV28" s="137"/>
      <c r="AW28" s="137"/>
      <c r="AX28" s="137"/>
    </row>
    <row r="29" spans="1:50" s="79" customFormat="1" ht="10.199999999999999" x14ac:dyDescent="0.2">
      <c r="A29" s="97">
        <f t="shared" ca="1" si="2"/>
        <v>18</v>
      </c>
      <c r="B29" s="68" t="s">
        <v>106</v>
      </c>
      <c r="C29" s="98">
        <v>0.4</v>
      </c>
      <c r="D29" s="69" t="s">
        <v>66</v>
      </c>
      <c r="E29" s="138" t="s">
        <v>87</v>
      </c>
      <c r="F29" s="158">
        <v>6.9999999999999999E-4</v>
      </c>
      <c r="G29" s="158">
        <v>8.0000000000000004E-4</v>
      </c>
      <c r="H29" s="158">
        <v>1.4E-3</v>
      </c>
      <c r="I29" s="158">
        <v>1.9E-3</v>
      </c>
      <c r="J29" s="158" t="s">
        <v>87</v>
      </c>
      <c r="K29" s="158">
        <v>3.0999999999999999E-3</v>
      </c>
      <c r="L29" s="158">
        <v>3.8999999999999998E-3</v>
      </c>
      <c r="M29" s="158">
        <v>5.3E-3</v>
      </c>
      <c r="N29" s="139" cm="1">
        <f t="array" aca="1" ref="N29:AE29" ca="1">IF(OR(B29="",NOT($J$2)),"",GetStripDefaultProbability(A29,B29,Parameter_Date,CDSRollDate,E29:M29,SpreadCurveMaturities,D29,C29,$J$4,$J$6))</f>
        <v>0</v>
      </c>
      <c r="O29" s="165">
        <f ca="1"/>
        <v>6.5303425461338271E-4</v>
      </c>
      <c r="P29" s="165">
        <f ca="1"/>
        <v>1.4133760813656027E-3</v>
      </c>
      <c r="Q29" s="165">
        <f ca="1"/>
        <v>4.8625999884075455E-3</v>
      </c>
      <c r="R29" s="165">
        <f ca="1"/>
        <v>9.8641568436876881E-3</v>
      </c>
      <c r="S29" s="165">
        <f ca="1"/>
        <v>0</v>
      </c>
      <c r="T29" s="165">
        <f ca="1"/>
        <v>2.6927478233774949E-2</v>
      </c>
      <c r="U29" s="165">
        <f ca="1"/>
        <v>4.7395375915072702E-2</v>
      </c>
      <c r="V29" s="140">
        <f ca="1"/>
        <v>9.273581453235491E-2</v>
      </c>
      <c r="W29" s="139">
        <f ca="1"/>
        <v>0</v>
      </c>
      <c r="X29" s="165">
        <f ca="1"/>
        <v>7.4628912209839804E-4</v>
      </c>
      <c r="Y29" s="165">
        <f ca="1"/>
        <v>1.5797933168700817E-3</v>
      </c>
      <c r="Z29" s="165">
        <f ca="1"/>
        <v>5.1942571757978007E-3</v>
      </c>
      <c r="AA29" s="165">
        <f ca="1"/>
        <v>1.0359101018902583E-2</v>
      </c>
      <c r="AB29" s="165">
        <f ca="1"/>
        <v>0</v>
      </c>
      <c r="AC29" s="165">
        <f ca="1"/>
        <v>2.8247422690020563E-2</v>
      </c>
      <c r="AD29" s="165">
        <f ca="1"/>
        <v>4.9708416711300107E-2</v>
      </c>
      <c r="AE29" s="140">
        <f ca="1"/>
        <v>9.7206018547218553E-2</v>
      </c>
      <c r="AH29" s="137"/>
      <c r="AI29" s="137"/>
      <c r="AJ29" s="137"/>
      <c r="AK29" s="137"/>
      <c r="AL29" s="141"/>
      <c r="AM29" s="137"/>
      <c r="AN29" s="137"/>
      <c r="AO29" s="137"/>
      <c r="AQ29" s="137"/>
      <c r="AR29" s="137"/>
      <c r="AS29" s="137"/>
      <c r="AT29" s="137"/>
      <c r="AV29" s="137"/>
      <c r="AW29" s="137"/>
      <c r="AX29" s="137"/>
    </row>
    <row r="30" spans="1:50" s="79" customFormat="1" ht="10.199999999999999" x14ac:dyDescent="0.2">
      <c r="A30" s="97">
        <f t="shared" ca="1" si="2"/>
        <v>19</v>
      </c>
      <c r="B30" s="68" t="s">
        <v>107</v>
      </c>
      <c r="C30" s="98">
        <v>0.4</v>
      </c>
      <c r="D30" s="69" t="s">
        <v>66</v>
      </c>
      <c r="E30" s="138" t="s">
        <v>87</v>
      </c>
      <c r="F30" s="158">
        <v>5.0000000000000001E-4</v>
      </c>
      <c r="G30" s="158">
        <v>8.0000000000000004E-4</v>
      </c>
      <c r="H30" s="158">
        <v>1.1999999999999999E-3</v>
      </c>
      <c r="I30" s="158">
        <v>1.6000000000000001E-3</v>
      </c>
      <c r="J30" s="158" t="s">
        <v>87</v>
      </c>
      <c r="K30" s="158">
        <v>2.5999999999999999E-3</v>
      </c>
      <c r="L30" s="158">
        <v>3.2000000000000002E-3</v>
      </c>
      <c r="M30" s="158">
        <v>3.5999999999999999E-3</v>
      </c>
      <c r="N30" s="139" cm="1">
        <f t="array" aca="1" ref="N30:AE30" ca="1">IF(OR(B30="",NOT($J$2)),"",GetStripDefaultProbability(A30,B30,Parameter_Date,CDSRollDate,E30:M30,SpreadCurveMaturities,D30,C30,$J$4,$J$6))</f>
        <v>0</v>
      </c>
      <c r="O30" s="165">
        <f ca="1"/>
        <v>4.6649647376628689E-4</v>
      </c>
      <c r="P30" s="165">
        <f ca="1"/>
        <v>1.4179756342108663E-3</v>
      </c>
      <c r="Q30" s="165">
        <f ca="1"/>
        <v>4.1643281717038683E-3</v>
      </c>
      <c r="R30" s="165">
        <f ca="1"/>
        <v>8.3022077948685657E-3</v>
      </c>
      <c r="S30" s="165">
        <f ca="1"/>
        <v>0</v>
      </c>
      <c r="T30" s="165">
        <f ca="1"/>
        <v>2.2605056720911954E-2</v>
      </c>
      <c r="U30" s="165">
        <f ca="1"/>
        <v>3.8922075472979323E-2</v>
      </c>
      <c r="V30" s="140">
        <f ca="1"/>
        <v>6.2036755697362111E-2</v>
      </c>
      <c r="W30" s="139">
        <f ca="1"/>
        <v>0</v>
      </c>
      <c r="X30" s="165">
        <f ca="1"/>
        <v>5.5976917815403482E-4</v>
      </c>
      <c r="Y30" s="165">
        <f ca="1"/>
        <v>1.5843921031823971E-3</v>
      </c>
      <c r="Z30" s="165">
        <f ca="1"/>
        <v>4.4962180775836025E-3</v>
      </c>
      <c r="AA30" s="165">
        <f ca="1"/>
        <v>8.7979327494193127E-3</v>
      </c>
      <c r="AB30" s="165">
        <f ca="1"/>
        <v>0</v>
      </c>
      <c r="AC30" s="165">
        <f ca="1"/>
        <v>2.3705890165743093E-2</v>
      </c>
      <c r="AD30" s="165">
        <f ca="1"/>
        <v>4.0818479933554919E-2</v>
      </c>
      <c r="AE30" s="140">
        <f ca="1"/>
        <v>6.5032571313006882E-2</v>
      </c>
      <c r="AH30" s="137"/>
      <c r="AI30" s="137"/>
      <c r="AJ30" s="137"/>
      <c r="AK30" s="137"/>
      <c r="AL30" s="141"/>
      <c r="AM30" s="137"/>
      <c r="AN30" s="137"/>
      <c r="AO30" s="137"/>
      <c r="AQ30" s="137"/>
      <c r="AR30" s="137"/>
      <c r="AS30" s="137"/>
      <c r="AT30" s="137"/>
      <c r="AV30" s="137"/>
      <c r="AW30" s="137"/>
      <c r="AX30" s="137"/>
    </row>
    <row r="31" spans="1:50" s="79" customFormat="1" ht="10.199999999999999" x14ac:dyDescent="0.2">
      <c r="A31" s="97">
        <f t="shared" ca="1" si="2"/>
        <v>20</v>
      </c>
      <c r="B31" s="68" t="s">
        <v>108</v>
      </c>
      <c r="C31" s="98">
        <v>0.4</v>
      </c>
      <c r="D31" s="69" t="s">
        <v>66</v>
      </c>
      <c r="E31" s="138" t="s">
        <v>87</v>
      </c>
      <c r="F31" s="158">
        <v>6.4000000000000005E-4</v>
      </c>
      <c r="G31" s="158">
        <v>1.1800000000000001E-3</v>
      </c>
      <c r="H31" s="158">
        <v>1.66E-3</v>
      </c>
      <c r="I31" s="158">
        <v>2.1099999999999999E-3</v>
      </c>
      <c r="J31" s="158" t="s">
        <v>87</v>
      </c>
      <c r="K31" s="158">
        <v>3.0000000000000001E-3</v>
      </c>
      <c r="L31" s="158">
        <v>3.5999999999999999E-3</v>
      </c>
      <c r="M31" s="158">
        <v>3.8E-3</v>
      </c>
      <c r="N31" s="139" cm="1">
        <f t="array" aca="1" ref="N31:AE31" ca="1">IF(OR(B31="",NOT($J$2)),"",GetStripDefaultProbability(A31,B31,Parameter_Date,CDSRollDate,E31:M31,SpreadCurveMaturities,D31,C31,$J$4,$J$6))</f>
        <v>0</v>
      </c>
      <c r="O31" s="165">
        <f ca="1"/>
        <v>5.9707656780039198E-4</v>
      </c>
      <c r="P31" s="165">
        <f ca="1"/>
        <v>2.0932249635223776E-3</v>
      </c>
      <c r="Q31" s="165">
        <f ca="1"/>
        <v>5.7536694731300519E-3</v>
      </c>
      <c r="R31" s="165">
        <f ca="1"/>
        <v>1.0917321098280697E-2</v>
      </c>
      <c r="S31" s="165">
        <f ca="1"/>
        <v>0</v>
      </c>
      <c r="T31" s="165">
        <f ca="1"/>
        <v>2.5882396203165681E-2</v>
      </c>
      <c r="U31" s="165">
        <f ca="1"/>
        <v>4.3443508959220667E-2</v>
      </c>
      <c r="V31" s="140">
        <f ca="1"/>
        <v>6.4503761885898681E-2</v>
      </c>
      <c r="W31" s="139">
        <f ca="1"/>
        <v>0</v>
      </c>
      <c r="X31" s="165">
        <f ca="1"/>
        <v>6.9033680165653255E-4</v>
      </c>
      <c r="Y31" s="165">
        <f ca="1"/>
        <v>2.2595289003242147E-3</v>
      </c>
      <c r="Z31" s="165">
        <f ca="1"/>
        <v>6.0850296868666387E-3</v>
      </c>
      <c r="AA31" s="165">
        <f ca="1"/>
        <v>1.1438924626365199E-2</v>
      </c>
      <c r="AB31" s="165">
        <f ca="1"/>
        <v>0</v>
      </c>
      <c r="AC31" s="165">
        <f ca="1"/>
        <v>2.7156182966993847E-2</v>
      </c>
      <c r="AD31" s="165">
        <f ca="1"/>
        <v>4.5569936835840985E-2</v>
      </c>
      <c r="AE31" s="140">
        <f ca="1"/>
        <v>6.7624509030728364E-2</v>
      </c>
      <c r="AH31" s="137"/>
      <c r="AI31" s="137"/>
      <c r="AJ31" s="137"/>
      <c r="AK31" s="137"/>
      <c r="AL31" s="141"/>
      <c r="AM31" s="137"/>
      <c r="AN31" s="137"/>
      <c r="AO31" s="137"/>
      <c r="AQ31" s="137"/>
      <c r="AR31" s="137"/>
      <c r="AS31" s="137"/>
      <c r="AT31" s="137"/>
      <c r="AV31" s="137"/>
      <c r="AW31" s="137"/>
      <c r="AX31" s="137"/>
    </row>
    <row r="32" spans="1:50" s="79" customFormat="1" ht="10.199999999999999" x14ac:dyDescent="0.2">
      <c r="A32" s="97">
        <f t="shared" ca="1" si="2"/>
        <v>21</v>
      </c>
      <c r="B32" s="68" t="s">
        <v>109</v>
      </c>
      <c r="C32" s="98">
        <v>0.4</v>
      </c>
      <c r="D32" s="69" t="s">
        <v>66</v>
      </c>
      <c r="E32" s="138" t="s">
        <v>87</v>
      </c>
      <c r="F32" s="158">
        <v>1.1000000000000001E-3</v>
      </c>
      <c r="G32" s="158">
        <v>1.6000000000000001E-3</v>
      </c>
      <c r="H32" s="158">
        <v>2.0999999999999999E-3</v>
      </c>
      <c r="I32" s="158">
        <v>3.0000000000000001E-3</v>
      </c>
      <c r="J32" s="158" t="s">
        <v>87</v>
      </c>
      <c r="K32" s="158">
        <v>3.8999999999999998E-3</v>
      </c>
      <c r="L32" s="158">
        <v>4.5999999999999999E-3</v>
      </c>
      <c r="M32" s="158">
        <v>5.7000000000000002E-3</v>
      </c>
      <c r="N32" s="139" cm="1">
        <f t="array" aca="1" ref="N32:AE32" ca="1">IF(OR(B32="",NOT($J$2)),"",GetStripDefaultProbability(A32,B32,Parameter_Date,CDSRollDate,E32:M32,SpreadCurveMaturities,D32,C32,$J$4,$J$6))</f>
        <v>0</v>
      </c>
      <c r="O32" s="165">
        <f ca="1"/>
        <v>1.0260056262103578E-3</v>
      </c>
      <c r="P32" s="165">
        <f ca="1"/>
        <v>2.8319832602154982E-3</v>
      </c>
      <c r="Q32" s="165">
        <f ca="1"/>
        <v>7.2605197403703414E-3</v>
      </c>
      <c r="R32" s="165">
        <f ca="1"/>
        <v>1.5539395618859198E-2</v>
      </c>
      <c r="S32" s="165">
        <f ca="1"/>
        <v>0</v>
      </c>
      <c r="T32" s="165">
        <f ca="1"/>
        <v>3.3444486876904156E-2</v>
      </c>
      <c r="U32" s="165">
        <f ca="1"/>
        <v>5.505895173494979E-2</v>
      </c>
      <c r="V32" s="140">
        <f ca="1"/>
        <v>9.762994416464843E-2</v>
      </c>
      <c r="W32" s="139">
        <f ca="1"/>
        <v>0</v>
      </c>
      <c r="X32" s="165">
        <f ca="1"/>
        <v>1.1192243755654419E-3</v>
      </c>
      <c r="Y32" s="165">
        <f ca="1"/>
        <v>2.9981640808945942E-3</v>
      </c>
      <c r="Z32" s="165">
        <f ca="1"/>
        <v>7.6079177602579318E-3</v>
      </c>
      <c r="AA32" s="165">
        <f ca="1"/>
        <v>1.6309934840025186E-2</v>
      </c>
      <c r="AB32" s="165">
        <f ca="1"/>
        <v>0</v>
      </c>
      <c r="AC32" s="165">
        <f ca="1"/>
        <v>3.5089475187643715E-2</v>
      </c>
      <c r="AD32" s="165">
        <f ca="1"/>
        <v>5.7743504110613242E-2</v>
      </c>
      <c r="AE32" s="140">
        <f ca="1"/>
        <v>0.10231848815276179</v>
      </c>
      <c r="AH32" s="137"/>
      <c r="AI32" s="137"/>
      <c r="AJ32" s="137"/>
      <c r="AK32" s="137"/>
      <c r="AL32" s="141"/>
      <c r="AM32" s="137"/>
      <c r="AN32" s="137"/>
      <c r="AO32" s="137"/>
      <c r="AQ32" s="137"/>
      <c r="AR32" s="137"/>
      <c r="AS32" s="137"/>
      <c r="AT32" s="137"/>
      <c r="AV32" s="137"/>
      <c r="AW32" s="137"/>
      <c r="AX32" s="137"/>
    </row>
    <row r="33" spans="1:50" s="79" customFormat="1" ht="10.199999999999999" x14ac:dyDescent="0.2">
      <c r="A33" s="97">
        <f t="shared" ca="1" si="2"/>
        <v>22</v>
      </c>
      <c r="B33" s="68" t="s">
        <v>110</v>
      </c>
      <c r="C33" s="98">
        <v>0.4</v>
      </c>
      <c r="D33" s="69" t="s">
        <v>66</v>
      </c>
      <c r="E33" s="138" t="s">
        <v>87</v>
      </c>
      <c r="F33" s="158">
        <v>7.7999999999999999E-4</v>
      </c>
      <c r="G33" s="158">
        <v>1.3699999999999999E-3</v>
      </c>
      <c r="H33" s="158">
        <v>2.3E-3</v>
      </c>
      <c r="I33" s="158">
        <v>2.7000000000000001E-3</v>
      </c>
      <c r="J33" s="158" t="s">
        <v>87</v>
      </c>
      <c r="K33" s="158">
        <v>3.3E-3</v>
      </c>
      <c r="L33" s="158">
        <v>3.7000000000000002E-3</v>
      </c>
      <c r="M33" s="158">
        <v>4.0000000000000001E-3</v>
      </c>
      <c r="N33" s="139" cm="1">
        <f t="array" aca="1" ref="N33:AE33" ca="1">IF(OR(B33="",NOT($J$2)),"",GetStripDefaultProbability(A33,B33,Parameter_Date,CDSRollDate,E33:M33,SpreadCurveMaturities,D33,C33,$J$4,$J$6))</f>
        <v>0</v>
      </c>
      <c r="O33" s="165">
        <f ca="1"/>
        <v>7.276396410892394E-4</v>
      </c>
      <c r="P33" s="165">
        <f ca="1"/>
        <v>2.429094161474632E-3</v>
      </c>
      <c r="Q33" s="165">
        <f ca="1"/>
        <v>7.9844375614563923E-3</v>
      </c>
      <c r="R33" s="165">
        <f ca="1"/>
        <v>1.3933644105103893E-2</v>
      </c>
      <c r="S33" s="165">
        <f ca="1"/>
        <v>0</v>
      </c>
      <c r="T33" s="165">
        <f ca="1"/>
        <v>2.8204691590889452E-2</v>
      </c>
      <c r="U33" s="165">
        <f ca="1"/>
        <v>4.4100165206850894E-2</v>
      </c>
      <c r="V33" s="140">
        <f ca="1"/>
        <v>6.7535975530210179E-2</v>
      </c>
      <c r="W33" s="139">
        <f ca="1"/>
        <v>0</v>
      </c>
      <c r="X33" s="165">
        <f ca="1"/>
        <v>8.2088733279883641E-4</v>
      </c>
      <c r="Y33" s="165">
        <f ca="1"/>
        <v>2.5953421247317809E-3</v>
      </c>
      <c r="Z33" s="165">
        <f ca="1"/>
        <v>8.3646373174401933E-3</v>
      </c>
      <c r="AA33" s="165">
        <f ca="1"/>
        <v>1.4623626963277014E-2</v>
      </c>
      <c r="AB33" s="165">
        <f ca="1"/>
        <v>0</v>
      </c>
      <c r="AC33" s="165">
        <f ca="1"/>
        <v>2.95934379649615E-2</v>
      </c>
      <c r="AD33" s="165">
        <f ca="1"/>
        <v>4.6257760717125396E-2</v>
      </c>
      <c r="AE33" s="140">
        <f ca="1"/>
        <v>7.0798222524501631E-2</v>
      </c>
      <c r="AH33" s="137"/>
      <c r="AI33" s="137"/>
      <c r="AJ33" s="137"/>
      <c r="AK33" s="137"/>
      <c r="AL33" s="141"/>
      <c r="AM33" s="137"/>
      <c r="AN33" s="137"/>
      <c r="AO33" s="137"/>
      <c r="AQ33" s="137"/>
      <c r="AR33" s="137"/>
      <c r="AS33" s="137"/>
      <c r="AT33" s="137"/>
      <c r="AV33" s="137"/>
      <c r="AW33" s="137"/>
      <c r="AX33" s="137"/>
    </row>
    <row r="34" spans="1:50" s="79" customFormat="1" ht="10.199999999999999" x14ac:dyDescent="0.2">
      <c r="A34" s="97">
        <f t="shared" ca="1" si="2"/>
        <v>23</v>
      </c>
      <c r="B34" s="68" t="s">
        <v>111</v>
      </c>
      <c r="C34" s="98">
        <v>0.4</v>
      </c>
      <c r="D34" s="69" t="s">
        <v>66</v>
      </c>
      <c r="E34" s="138" t="s">
        <v>87</v>
      </c>
      <c r="F34" s="158">
        <v>5.0000000000000001E-4</v>
      </c>
      <c r="G34" s="158">
        <v>8.9999999999999998E-4</v>
      </c>
      <c r="H34" s="158">
        <v>1.6000000000000001E-3</v>
      </c>
      <c r="I34" s="158">
        <v>2.3999999999999998E-3</v>
      </c>
      <c r="J34" s="158" t="s">
        <v>87</v>
      </c>
      <c r="K34" s="158">
        <v>3.5999999999999999E-3</v>
      </c>
      <c r="L34" s="158">
        <v>4.5999999999999999E-3</v>
      </c>
      <c r="M34" s="158">
        <v>5.7999999999999996E-3</v>
      </c>
      <c r="N34" s="139" cm="1">
        <f t="array" aca="1" ref="N34:AE34" ca="1">IF(OR(B34="",NOT($J$2)),"",GetStripDefaultProbability(A34,B34,Parameter_Date,CDSRollDate,E34:M34,SpreadCurveMaturities,D34,C34,$J$4,$J$6))</f>
        <v>0</v>
      </c>
      <c r="O34" s="165">
        <f ca="1"/>
        <v>4.6649647376628689E-4</v>
      </c>
      <c r="P34" s="165">
        <f ca="1"/>
        <v>1.5965524086479776E-3</v>
      </c>
      <c r="Q34" s="165">
        <f ca="1"/>
        <v>5.5637659796777816E-3</v>
      </c>
      <c r="R34" s="165">
        <f ca="1"/>
        <v>1.2492753716270233E-2</v>
      </c>
      <c r="S34" s="165">
        <f ca="1"/>
        <v>0</v>
      </c>
      <c r="T34" s="165">
        <f ca="1"/>
        <v>3.1160441085223201E-2</v>
      </c>
      <c r="U34" s="165">
        <f ca="1"/>
        <v>5.5742887836243149E-2</v>
      </c>
      <c r="V34" s="140">
        <f ca="1"/>
        <v>0.1002160901058311</v>
      </c>
      <c r="W34" s="139">
        <f ca="1"/>
        <v>0</v>
      </c>
      <c r="X34" s="165">
        <f ca="1"/>
        <v>5.5976917815403482E-4</v>
      </c>
      <c r="Y34" s="165">
        <f ca="1"/>
        <v>1.7629391172940823E-3</v>
      </c>
      <c r="Z34" s="165">
        <f ca="1"/>
        <v>5.895189484046881E-3</v>
      </c>
      <c r="AA34" s="165">
        <f ca="1"/>
        <v>1.3106562032094926E-2</v>
      </c>
      <c r="AB34" s="165">
        <f ca="1"/>
        <v>0</v>
      </c>
      <c r="AC34" s="165">
        <f ca="1"/>
        <v>3.268921132107705E-2</v>
      </c>
      <c r="AD34" s="165">
        <f ca="1"/>
        <v>5.8457929859087709E-2</v>
      </c>
      <c r="AE34" s="140">
        <f ca="1"/>
        <v>0.10502687284574408</v>
      </c>
      <c r="AH34" s="137"/>
      <c r="AI34" s="137"/>
      <c r="AJ34" s="137"/>
      <c r="AK34" s="137"/>
      <c r="AL34" s="141"/>
      <c r="AM34" s="137"/>
      <c r="AN34" s="137"/>
      <c r="AO34" s="137"/>
      <c r="AQ34" s="137"/>
      <c r="AR34" s="137"/>
      <c r="AS34" s="137"/>
      <c r="AT34" s="137"/>
      <c r="AV34" s="137"/>
      <c r="AW34" s="137"/>
      <c r="AX34" s="137"/>
    </row>
    <row r="35" spans="1:50" s="79" customFormat="1" ht="10.199999999999999" x14ac:dyDescent="0.2">
      <c r="A35" s="97">
        <f t="shared" ca="1" si="2"/>
        <v>24</v>
      </c>
      <c r="B35" s="68" t="s">
        <v>112</v>
      </c>
      <c r="C35" s="98">
        <v>0.4</v>
      </c>
      <c r="D35" s="69" t="s">
        <v>66</v>
      </c>
      <c r="E35" s="138" t="s">
        <v>87</v>
      </c>
      <c r="F35" s="158">
        <v>1.15E-3</v>
      </c>
      <c r="G35" s="158">
        <v>1.81E-3</v>
      </c>
      <c r="H35" s="158">
        <v>2.8E-3</v>
      </c>
      <c r="I35" s="158">
        <v>3.5000000000000001E-3</v>
      </c>
      <c r="J35" s="158" t="s">
        <v>87</v>
      </c>
      <c r="K35" s="158">
        <v>4.5999999999999999E-3</v>
      </c>
      <c r="L35" s="158">
        <v>5.1999999999999998E-3</v>
      </c>
      <c r="M35" s="158">
        <v>5.7000000000000002E-3</v>
      </c>
      <c r="N35" s="139" cm="1">
        <f t="array" aca="1" ref="N35:AE35" ca="1">IF(OR(B35="",NOT($J$2)),"",GetStripDefaultProbability(A35,B35,Parameter_Date,CDSRollDate,E35:M35,SpreadCurveMaturities,D35,C35,$J$4,$J$6))</f>
        <v>0</v>
      </c>
      <c r="O35" s="165">
        <f ca="1"/>
        <v>1.0726172827926206E-3</v>
      </c>
      <c r="P35" s="165">
        <f ca="1"/>
        <v>3.2054338385190118E-3</v>
      </c>
      <c r="Q35" s="165">
        <f ca="1"/>
        <v>9.6996966232281157E-3</v>
      </c>
      <c r="R35" s="165">
        <f ca="1"/>
        <v>1.8058171350699093E-2</v>
      </c>
      <c r="S35" s="165">
        <f ca="1"/>
        <v>0</v>
      </c>
      <c r="T35" s="165">
        <f ca="1"/>
        <v>3.9322979205270614E-2</v>
      </c>
      <c r="U35" s="165">
        <f ca="1"/>
        <v>6.175941837545218E-2</v>
      </c>
      <c r="V35" s="140">
        <f ca="1"/>
        <v>9.551476955441518E-2</v>
      </c>
      <c r="W35" s="139">
        <f ca="1"/>
        <v>0</v>
      </c>
      <c r="X35" s="165">
        <f ca="1"/>
        <v>1.1658314747735599E-3</v>
      </c>
      <c r="Y35" s="165">
        <f ca="1"/>
        <v>3.3715524226098914E-3</v>
      </c>
      <c r="Z35" s="165">
        <f ca="1"/>
        <v>1.0181271226311628E-2</v>
      </c>
      <c r="AA35" s="165">
        <f ca="1"/>
        <v>1.8952764495030916E-2</v>
      </c>
      <c r="AB35" s="165">
        <f ca="1"/>
        <v>0</v>
      </c>
      <c r="AC35" s="165">
        <f ca="1"/>
        <v>4.1251639727773903E-2</v>
      </c>
      <c r="AD35" s="165">
        <f ca="1"/>
        <v>6.4759535862833228E-2</v>
      </c>
      <c r="AE35" s="140">
        <f ca="1"/>
        <v>0.10006637955057651</v>
      </c>
      <c r="AH35" s="137"/>
      <c r="AI35" s="137"/>
      <c r="AJ35" s="137"/>
      <c r="AK35" s="137"/>
      <c r="AL35" s="141"/>
      <c r="AM35" s="137"/>
      <c r="AN35" s="137"/>
      <c r="AO35" s="137"/>
      <c r="AQ35" s="137"/>
      <c r="AR35" s="137"/>
      <c r="AS35" s="137"/>
      <c r="AT35" s="137"/>
      <c r="AV35" s="137"/>
      <c r="AW35" s="137"/>
      <c r="AX35" s="137"/>
    </row>
    <row r="36" spans="1:50" s="79" customFormat="1" ht="10.199999999999999" x14ac:dyDescent="0.2">
      <c r="A36" s="97">
        <f t="shared" ca="1" si="2"/>
        <v>25</v>
      </c>
      <c r="B36" s="68" t="s">
        <v>113</v>
      </c>
      <c r="C36" s="98">
        <v>0.4</v>
      </c>
      <c r="D36" s="69" t="s">
        <v>66</v>
      </c>
      <c r="E36" s="138" t="s">
        <v>87</v>
      </c>
      <c r="F36" s="158">
        <v>5.0000000000000001E-4</v>
      </c>
      <c r="G36" s="158">
        <v>6.9999999999999999E-4</v>
      </c>
      <c r="H36" s="158">
        <v>1.1000000000000001E-3</v>
      </c>
      <c r="I36" s="158">
        <v>1.6000000000000001E-3</v>
      </c>
      <c r="J36" s="158" t="s">
        <v>87</v>
      </c>
      <c r="K36" s="158">
        <v>2.3E-3</v>
      </c>
      <c r="L36" s="158">
        <v>2.8999999999999998E-3</v>
      </c>
      <c r="M36" s="158">
        <v>3.7000000000000002E-3</v>
      </c>
      <c r="N36" s="139" cm="1">
        <f t="array" aca="1" ref="N36:AE36" ca="1">IF(OR(B36="",NOT($J$2)),"",GetStripDefaultProbability(A36,B36,Parameter_Date,CDSRollDate,E36:M36,SpreadCurveMaturities,D36,C36,$J$4,$J$6))</f>
        <v>0</v>
      </c>
      <c r="O36" s="165">
        <f ca="1"/>
        <v>4.6649647376628689E-4</v>
      </c>
      <c r="P36" s="165">
        <f ca="1"/>
        <v>1.2393840374057552E-3</v>
      </c>
      <c r="Q36" s="165">
        <f ca="1"/>
        <v>3.8189018326942881E-3</v>
      </c>
      <c r="R36" s="165">
        <f ca="1"/>
        <v>8.3247764833102034E-3</v>
      </c>
      <c r="S36" s="165">
        <f ca="1"/>
        <v>0</v>
      </c>
      <c r="T36" s="165">
        <f ca="1"/>
        <v>1.9936386812058338E-2</v>
      </c>
      <c r="U36" s="165">
        <f ca="1"/>
        <v>3.5311455978638384E-2</v>
      </c>
      <c r="V36" s="140">
        <f ca="1"/>
        <v>6.480418710227942E-2</v>
      </c>
      <c r="W36" s="139">
        <f ca="1"/>
        <v>0</v>
      </c>
      <c r="X36" s="165">
        <f ca="1"/>
        <v>5.5976917815403482E-4</v>
      </c>
      <c r="Y36" s="165">
        <f ca="1"/>
        <v>1.4058302691598579E-3</v>
      </c>
      <c r="Z36" s="165">
        <f ca="1"/>
        <v>4.1509068615025457E-3</v>
      </c>
      <c r="AA36" s="165">
        <f ca="1"/>
        <v>8.8204901563130322E-3</v>
      </c>
      <c r="AB36" s="165">
        <f ca="1"/>
        <v>0</v>
      </c>
      <c r="AC36" s="165">
        <f ca="1"/>
        <v>2.0905155357642702E-2</v>
      </c>
      <c r="AD36" s="165">
        <f ca="1"/>
        <v>3.7031656780413869E-2</v>
      </c>
      <c r="AE36" s="140">
        <f ca="1"/>
        <v>6.7932619576215991E-2</v>
      </c>
      <c r="AH36" s="137"/>
      <c r="AI36" s="137"/>
      <c r="AJ36" s="137"/>
      <c r="AK36" s="137"/>
      <c r="AL36" s="141"/>
      <c r="AM36" s="137"/>
      <c r="AN36" s="137"/>
      <c r="AO36" s="137"/>
      <c r="AQ36" s="137"/>
      <c r="AR36" s="137"/>
      <c r="AS36" s="137"/>
      <c r="AT36" s="137"/>
      <c r="AV36" s="137"/>
      <c r="AW36" s="137"/>
      <c r="AX36" s="137"/>
    </row>
    <row r="37" spans="1:50" s="79" customFormat="1" ht="10.199999999999999" x14ac:dyDescent="0.2">
      <c r="A37" s="97">
        <f t="shared" ca="1" si="2"/>
        <v>26</v>
      </c>
      <c r="B37" s="68" t="s">
        <v>114</v>
      </c>
      <c r="C37" s="98">
        <v>0.4</v>
      </c>
      <c r="D37" s="69" t="s">
        <v>66</v>
      </c>
      <c r="E37" s="138" t="s">
        <v>87</v>
      </c>
      <c r="F37" s="158">
        <v>8.9999999999999998E-4</v>
      </c>
      <c r="G37" s="158">
        <v>2.2000000000000001E-3</v>
      </c>
      <c r="H37" s="158">
        <v>3.3E-3</v>
      </c>
      <c r="I37" s="158">
        <v>4.4999999999999997E-3</v>
      </c>
      <c r="J37" s="158" t="s">
        <v>87</v>
      </c>
      <c r="K37" s="158">
        <v>6.7999999999999996E-3</v>
      </c>
      <c r="L37" s="158">
        <v>8.3999999999999995E-3</v>
      </c>
      <c r="M37" s="158">
        <v>1.01E-2</v>
      </c>
      <c r="N37" s="139" cm="1">
        <f t="array" aca="1" ref="N37:AE37" ca="1">IF(OR(B37="",NOT($J$2)),"",GetStripDefaultProbability(A37,B37,Parameter_Date,CDSRollDate,E37:M37,SpreadCurveMaturities,D37,C37,$J$4,$J$6))</f>
        <v>0</v>
      </c>
      <c r="O37" s="165">
        <f ca="1"/>
        <v>8.3953730218899736E-4</v>
      </c>
      <c r="P37" s="165">
        <f ca="1"/>
        <v>3.9070431368504188E-3</v>
      </c>
      <c r="Q37" s="165">
        <f ca="1"/>
        <v>1.1431015961930191E-2</v>
      </c>
      <c r="R37" s="165">
        <f ca="1"/>
        <v>2.3248421416712794E-2</v>
      </c>
      <c r="S37" s="165">
        <f ca="1"/>
        <v>0</v>
      </c>
      <c r="T37" s="165">
        <f ca="1"/>
        <v>5.8214410311569043E-2</v>
      </c>
      <c r="U37" s="165">
        <f ca="1"/>
        <v>9.9729335529441854E-2</v>
      </c>
      <c r="V37" s="140">
        <f ca="1"/>
        <v>0.16819594162650209</v>
      </c>
      <c r="W37" s="139">
        <f ca="1"/>
        <v>0</v>
      </c>
      <c r="X37" s="165">
        <f ca="1"/>
        <v>9.3277418569359671E-4</v>
      </c>
      <c r="Y37" s="165">
        <f ca="1"/>
        <v>4.0896434400622406E-3</v>
      </c>
      <c r="Z37" s="165">
        <f ca="1"/>
        <v>1.1998724295003704E-2</v>
      </c>
      <c r="AA37" s="165">
        <f ca="1"/>
        <v>2.4398754858213079E-2</v>
      </c>
      <c r="AB37" s="165">
        <f ca="1"/>
        <v>0</v>
      </c>
      <c r="AC37" s="165">
        <f ca="1"/>
        <v>6.1047457643889969E-2</v>
      </c>
      <c r="AD37" s="165">
        <f ca="1"/>
        <v>0.10450213756728433</v>
      </c>
      <c r="AE37" s="140">
        <f ca="1"/>
        <v>0.17602787693542643</v>
      </c>
      <c r="AH37" s="137"/>
      <c r="AI37" s="137"/>
      <c r="AJ37" s="137"/>
      <c r="AK37" s="137"/>
      <c r="AL37" s="141"/>
      <c r="AM37" s="137"/>
      <c r="AN37" s="137"/>
      <c r="AO37" s="137"/>
      <c r="AQ37" s="137"/>
      <c r="AR37" s="137"/>
      <c r="AS37" s="137"/>
      <c r="AT37" s="137"/>
      <c r="AV37" s="137"/>
      <c r="AW37" s="137"/>
      <c r="AX37" s="137"/>
    </row>
    <row r="38" spans="1:50" s="79" customFormat="1" ht="10.199999999999999" x14ac:dyDescent="0.2">
      <c r="A38" s="97">
        <f t="shared" ca="1" si="2"/>
        <v>27</v>
      </c>
      <c r="B38" s="68" t="s">
        <v>115</v>
      </c>
      <c r="C38" s="98">
        <v>0.4</v>
      </c>
      <c r="D38" s="69" t="s">
        <v>66</v>
      </c>
      <c r="E38" s="138" t="s">
        <v>87</v>
      </c>
      <c r="F38" s="158">
        <v>5.0000000000000001E-4</v>
      </c>
      <c r="G38" s="158">
        <v>5.9999999999999995E-4</v>
      </c>
      <c r="H38" s="158">
        <v>1.1999999999999999E-3</v>
      </c>
      <c r="I38" s="158">
        <v>1.6000000000000001E-3</v>
      </c>
      <c r="J38" s="158" t="s">
        <v>87</v>
      </c>
      <c r="K38" s="158">
        <v>2.3E-3</v>
      </c>
      <c r="L38" s="158">
        <v>2.7000000000000001E-3</v>
      </c>
      <c r="M38" s="158">
        <v>3.3E-3</v>
      </c>
      <c r="N38" s="139" cm="1">
        <f t="array" aca="1" ref="N38:AE38" ca="1">IF(OR(B38="",NOT($J$2)),"",GetStripDefaultProbability(A38,B38,Parameter_Date,CDSRollDate,E38:M38,SpreadCurveMaturities,D38,C38,$J$4,$J$6))</f>
        <v>0</v>
      </c>
      <c r="O38" s="165">
        <f ca="1"/>
        <v>4.6649647376628689E-4</v>
      </c>
      <c r="P38" s="165">
        <f ca="1"/>
        <v>1.0607776163944482E-3</v>
      </c>
      <c r="Q38" s="165">
        <f ca="1"/>
        <v>4.1766586955125362E-3</v>
      </c>
      <c r="R38" s="165">
        <f ca="1"/>
        <v>8.3146840993060245E-3</v>
      </c>
      <c r="S38" s="165">
        <f ca="1"/>
        <v>0</v>
      </c>
      <c r="T38" s="165">
        <f ca="1"/>
        <v>1.9926108111941176E-2</v>
      </c>
      <c r="U38" s="165">
        <f ca="1"/>
        <v>3.2690870052863308E-2</v>
      </c>
      <c r="V38" s="140">
        <f ca="1"/>
        <v>5.7411244648998383E-2</v>
      </c>
      <c r="W38" s="139">
        <f ca="1"/>
        <v>0</v>
      </c>
      <c r="X38" s="165">
        <f ca="1"/>
        <v>5.5976917815403482E-4</v>
      </c>
      <c r="Y38" s="165">
        <f ca="1"/>
        <v>1.2272536134083634E-3</v>
      </c>
      <c r="Z38" s="165">
        <f ca="1"/>
        <v>4.5085444919210627E-3</v>
      </c>
      <c r="AA38" s="165">
        <f ca="1"/>
        <v>8.8104028172516502E-3</v>
      </c>
      <c r="AB38" s="165">
        <f ca="1"/>
        <v>0</v>
      </c>
      <c r="AC38" s="165">
        <f ca="1"/>
        <v>2.0894840011720817E-2</v>
      </c>
      <c r="AD38" s="165">
        <f ca="1"/>
        <v>3.4283643117842266E-2</v>
      </c>
      <c r="AE38" s="140">
        <f ca="1"/>
        <v>6.0188485317376084E-2</v>
      </c>
      <c r="AH38" s="137"/>
      <c r="AI38" s="137"/>
      <c r="AJ38" s="137"/>
      <c r="AK38" s="137"/>
      <c r="AL38" s="141"/>
      <c r="AM38" s="137"/>
      <c r="AN38" s="137"/>
      <c r="AO38" s="137"/>
      <c r="AQ38" s="137"/>
      <c r="AR38" s="137"/>
      <c r="AS38" s="137"/>
      <c r="AT38" s="137"/>
      <c r="AV38" s="137"/>
      <c r="AW38" s="137"/>
      <c r="AX38" s="137"/>
    </row>
    <row r="39" spans="1:50" s="79" customFormat="1" ht="10.199999999999999" x14ac:dyDescent="0.2">
      <c r="A39" s="97">
        <f t="shared" ca="1" si="2"/>
        <v>28</v>
      </c>
      <c r="B39" s="68" t="s">
        <v>116</v>
      </c>
      <c r="C39" s="98">
        <v>0.4</v>
      </c>
      <c r="D39" s="69" t="s">
        <v>66</v>
      </c>
      <c r="E39" s="138" t="s">
        <v>87</v>
      </c>
      <c r="F39" s="158">
        <v>1E-3</v>
      </c>
      <c r="G39" s="158">
        <v>1.2999999999999999E-3</v>
      </c>
      <c r="H39" s="158">
        <v>2.3E-3</v>
      </c>
      <c r="I39" s="158">
        <v>3.3999999999999998E-3</v>
      </c>
      <c r="J39" s="158" t="s">
        <v>87</v>
      </c>
      <c r="K39" s="158">
        <v>5.1000000000000004E-3</v>
      </c>
      <c r="L39" s="158">
        <v>6.4999999999999997E-3</v>
      </c>
      <c r="M39" s="158">
        <v>7.6E-3</v>
      </c>
      <c r="N39" s="139" cm="1">
        <f t="array" aca="1" ref="N39:AE39" ca="1">IF(OR(B39="",NOT($J$2)),"",GetStripDefaultProbability(A39,B39,Parameter_Date,CDSRollDate,E39:M39,SpreadCurveMaturities,D39,C39,$J$4,$J$6))</f>
        <v>0</v>
      </c>
      <c r="O39" s="165">
        <f ca="1"/>
        <v>9.3277580402983951E-4</v>
      </c>
      <c r="P39" s="165">
        <f ca="1"/>
        <v>2.2990079173106359E-3</v>
      </c>
      <c r="Q39" s="165">
        <f ca="1"/>
        <v>7.9836059922455682E-3</v>
      </c>
      <c r="R39" s="165">
        <f ca="1"/>
        <v>1.7651834353218376E-2</v>
      </c>
      <c r="S39" s="165">
        <f ca="1"/>
        <v>0</v>
      </c>
      <c r="T39" s="165">
        <f ca="1"/>
        <v>4.3927043352718687E-2</v>
      </c>
      <c r="U39" s="165">
        <f ca="1"/>
        <v>7.8089558241299706E-2</v>
      </c>
      <c r="V39" s="140">
        <f ca="1"/>
        <v>0.12836652649109281</v>
      </c>
      <c r="W39" s="139">
        <f ca="1"/>
        <v>0</v>
      </c>
      <c r="X39" s="165">
        <f ca="1"/>
        <v>1.0260036394392769E-3</v>
      </c>
      <c r="Y39" s="165">
        <f ca="1"/>
        <v>2.465277559804524E-3</v>
      </c>
      <c r="Z39" s="165">
        <f ca="1"/>
        <v>8.3638060669304348E-3</v>
      </c>
      <c r="AA39" s="165">
        <f ca="1"/>
        <v>1.8525821701401823E-2</v>
      </c>
      <c r="AB39" s="165">
        <f ca="1"/>
        <v>0</v>
      </c>
      <c r="AC39" s="165">
        <f ca="1"/>
        <v>4.6078118617057129E-2</v>
      </c>
      <c r="AD39" s="165">
        <f ca="1"/>
        <v>8.1864349711798234E-2</v>
      </c>
      <c r="AE39" s="140">
        <f ca="1"/>
        <v>0.13444653038161936</v>
      </c>
      <c r="AH39" s="137"/>
      <c r="AI39" s="137"/>
      <c r="AJ39" s="137"/>
      <c r="AK39" s="137"/>
      <c r="AM39" s="137"/>
      <c r="AN39" s="137"/>
      <c r="AO39" s="137"/>
      <c r="AQ39" s="137"/>
      <c r="AR39" s="137"/>
      <c r="AS39" s="137"/>
      <c r="AT39" s="137"/>
      <c r="AV39" s="137"/>
      <c r="AW39" s="137"/>
      <c r="AX39" s="137"/>
    </row>
    <row r="40" spans="1:50" s="79" customFormat="1" ht="10.199999999999999" x14ac:dyDescent="0.2">
      <c r="A40" s="97">
        <f t="shared" ca="1" si="2"/>
        <v>29</v>
      </c>
      <c r="B40" s="68" t="s">
        <v>117</v>
      </c>
      <c r="C40" s="98">
        <v>0.4</v>
      </c>
      <c r="D40" s="69" t="s">
        <v>66</v>
      </c>
      <c r="E40" s="138" t="s">
        <v>87</v>
      </c>
      <c r="F40" s="158">
        <v>1.91E-3</v>
      </c>
      <c r="G40" s="158">
        <v>2.1800000000000001E-3</v>
      </c>
      <c r="H40" s="158">
        <v>2.9099999999999998E-3</v>
      </c>
      <c r="I40" s="158">
        <v>3.48E-3</v>
      </c>
      <c r="J40" s="158" t="s">
        <v>87</v>
      </c>
      <c r="K40" s="158">
        <v>4.3E-3</v>
      </c>
      <c r="L40" s="158">
        <v>4.7499999999999999E-3</v>
      </c>
      <c r="M40" s="158">
        <v>5.1000000000000004E-3</v>
      </c>
      <c r="N40" s="139" cm="1">
        <f t="array" aca="1" ref="N40:AE40" ca="1">IF(OR(B40="",NOT($J$2)),"",GetStripDefaultProbability(A40,B40,Parameter_Date,CDSRollDate,E40:M40,SpreadCurveMaturities,D40,C40,$J$4,$J$6))</f>
        <v>0</v>
      </c>
      <c r="O40" s="165">
        <f ca="1"/>
        <v>1.780847446629541E-3</v>
      </c>
      <c r="P40" s="165">
        <f ca="1"/>
        <v>3.8470140537452124E-3</v>
      </c>
      <c r="Q40" s="165">
        <f ca="1"/>
        <v>1.0042132007980431E-2</v>
      </c>
      <c r="R40" s="165">
        <f ca="1"/>
        <v>1.7889491485972964E-2</v>
      </c>
      <c r="S40" s="165">
        <f ca="1"/>
        <v>0</v>
      </c>
      <c r="T40" s="165">
        <f ca="1"/>
        <v>3.6604634923006918E-2</v>
      </c>
      <c r="U40" s="165">
        <f ca="1"/>
        <v>5.620913507473535E-2</v>
      </c>
      <c r="V40" s="140">
        <f ca="1"/>
        <v>8.5205841277361638E-2</v>
      </c>
      <c r="W40" s="139">
        <f ca="1"/>
        <v>0</v>
      </c>
      <c r="X40" s="165">
        <f ca="1"/>
        <v>1.8739911530948339E-3</v>
      </c>
      <c r="Y40" s="165">
        <f ca="1"/>
        <v>4.0279654092794104E-3</v>
      </c>
      <c r="Z40" s="165">
        <f ca="1"/>
        <v>1.0542105304457539E-2</v>
      </c>
      <c r="AA40" s="165">
        <f ca="1"/>
        <v>1.8777016985482176E-2</v>
      </c>
      <c r="AB40" s="165">
        <f ca="1"/>
        <v>0</v>
      </c>
      <c r="AC40" s="165">
        <f ca="1"/>
        <v>3.8402801241754436E-2</v>
      </c>
      <c r="AD40" s="165">
        <f ca="1"/>
        <v>5.8945846340952124E-2</v>
      </c>
      <c r="AE40" s="140">
        <f ca="1"/>
        <v>8.9285073084024558E-2</v>
      </c>
      <c r="AH40" s="137"/>
      <c r="AI40" s="137"/>
      <c r="AJ40" s="137"/>
      <c r="AK40" s="137"/>
      <c r="AM40" s="137"/>
      <c r="AN40" s="137"/>
      <c r="AO40" s="137"/>
      <c r="AQ40" s="137"/>
      <c r="AR40" s="137"/>
      <c r="AS40" s="137"/>
      <c r="AT40" s="137"/>
      <c r="AV40" s="137"/>
      <c r="AW40" s="137"/>
      <c r="AX40" s="137"/>
    </row>
    <row r="41" spans="1:50" s="79" customFormat="1" ht="10.199999999999999" x14ac:dyDescent="0.2">
      <c r="A41" s="97">
        <f t="shared" ca="1" si="2"/>
        <v>30</v>
      </c>
      <c r="B41" s="68" t="s">
        <v>118</v>
      </c>
      <c r="C41" s="98">
        <v>0.4</v>
      </c>
      <c r="D41" s="69" t="s">
        <v>66</v>
      </c>
      <c r="E41" s="138" t="s">
        <v>87</v>
      </c>
      <c r="F41" s="158">
        <v>4.0000000000000002E-4</v>
      </c>
      <c r="G41" s="158">
        <v>6.9999999999999999E-4</v>
      </c>
      <c r="H41" s="158">
        <v>1.1999999999999999E-3</v>
      </c>
      <c r="I41" s="158">
        <v>1.9E-3</v>
      </c>
      <c r="J41" s="158" t="s">
        <v>87</v>
      </c>
      <c r="K41" s="158">
        <v>2.8E-3</v>
      </c>
      <c r="L41" s="158">
        <v>3.5999999999999999E-3</v>
      </c>
      <c r="M41" s="158">
        <v>4.4000000000000003E-3</v>
      </c>
      <c r="N41" s="139" cm="1">
        <f t="array" aca="1" ref="N41:AE41" ca="1">IF(OR(B41="",NOT($J$2)),"",GetStripDefaultProbability(A41,B41,Parameter_Date,CDSRollDate,E41:M41,SpreadCurveMaturities,D41,C41,$J$4,$J$6))</f>
        <v>0</v>
      </c>
      <c r="O41" s="165">
        <f ca="1"/>
        <v>3.7321455535799242E-4</v>
      </c>
      <c r="P41" s="165">
        <f ca="1"/>
        <v>1.241675841888723E-3</v>
      </c>
      <c r="Q41" s="165">
        <f ca="1"/>
        <v>4.1728230255283494E-3</v>
      </c>
      <c r="R41" s="165">
        <f ca="1"/>
        <v>9.9106104903542436E-3</v>
      </c>
      <c r="S41" s="165">
        <f ca="1"/>
        <v>0</v>
      </c>
      <c r="T41" s="165">
        <f ca="1"/>
        <v>2.428939047615164E-2</v>
      </c>
      <c r="U41" s="165">
        <f ca="1"/>
        <v>4.3830656158564407E-2</v>
      </c>
      <c r="V41" s="140">
        <f ca="1"/>
        <v>7.6423011810922259E-2</v>
      </c>
      <c r="W41" s="139">
        <f ca="1"/>
        <v>0</v>
      </c>
      <c r="X41" s="165">
        <f ca="1"/>
        <v>4.6649612398852458E-4</v>
      </c>
      <c r="Y41" s="165">
        <f ca="1"/>
        <v>1.4081216917138928E-3</v>
      </c>
      <c r="Z41" s="165">
        <f ca="1"/>
        <v>4.5047101002785306E-3</v>
      </c>
      <c r="AA41" s="165">
        <f ca="1"/>
        <v>1.0405531444547034E-2</v>
      </c>
      <c r="AB41" s="165">
        <f ca="1"/>
        <v>0</v>
      </c>
      <c r="AC41" s="165">
        <f ca="1"/>
        <v>2.5478080395936797E-2</v>
      </c>
      <c r="AD41" s="165">
        <f ca="1"/>
        <v>4.5969753009999059E-2</v>
      </c>
      <c r="AE41" s="140">
        <f ca="1"/>
        <v>8.0101822275874812E-2</v>
      </c>
      <c r="AH41" s="137"/>
      <c r="AI41" s="137"/>
      <c r="AJ41" s="137"/>
      <c r="AK41" s="137"/>
      <c r="AM41" s="137"/>
      <c r="AN41" s="137"/>
      <c r="AO41" s="137"/>
      <c r="AQ41" s="137"/>
      <c r="AR41" s="137"/>
      <c r="AS41" s="137"/>
      <c r="AT41" s="137"/>
      <c r="AV41" s="137"/>
      <c r="AW41" s="137"/>
      <c r="AX41" s="137"/>
    </row>
    <row r="42" spans="1:50" s="79" customFormat="1" ht="10.199999999999999" x14ac:dyDescent="0.2">
      <c r="A42" s="97">
        <f t="shared" ca="1" si="2"/>
        <v>31</v>
      </c>
      <c r="B42" s="68" t="s">
        <v>119</v>
      </c>
      <c r="C42" s="98">
        <v>0.4</v>
      </c>
      <c r="D42" s="69" t="s">
        <v>66</v>
      </c>
      <c r="E42" s="138" t="s">
        <v>87</v>
      </c>
      <c r="F42" s="158">
        <v>8.9999999999999998E-4</v>
      </c>
      <c r="G42" s="158">
        <v>1.8E-3</v>
      </c>
      <c r="H42" s="158">
        <v>3.5000000000000001E-3</v>
      </c>
      <c r="I42" s="158">
        <v>4.1000000000000003E-3</v>
      </c>
      <c r="J42" s="158" t="s">
        <v>87</v>
      </c>
      <c r="K42" s="158">
        <v>5.8999999999999999E-3</v>
      </c>
      <c r="L42" s="158">
        <v>7.1999999999999998E-3</v>
      </c>
      <c r="M42" s="158">
        <v>8.5000000000000006E-3</v>
      </c>
      <c r="N42" s="139" cm="1">
        <f t="array" aca="1" ref="N42:AE42" ca="1">IF(OR(B42="",NOT($J$2)),"",GetStripDefaultProbability(A42,B42,Parameter_Date,CDSRollDate,E42:M42,SpreadCurveMaturities,D42,C42,$J$4,$J$6))</f>
        <v>0</v>
      </c>
      <c r="O42" s="165">
        <f ca="1"/>
        <v>8.3953730218899736E-4</v>
      </c>
      <c r="P42" s="165">
        <f ca="1"/>
        <v>3.1935489771610648E-3</v>
      </c>
      <c r="Q42" s="165">
        <f ca="1"/>
        <v>1.2157513726045233E-2</v>
      </c>
      <c r="R42" s="165">
        <f ca="1"/>
        <v>2.112229807427346E-2</v>
      </c>
      <c r="S42" s="165">
        <f ca="1"/>
        <v>0</v>
      </c>
      <c r="T42" s="165">
        <f ca="1"/>
        <v>5.0452575074337314E-2</v>
      </c>
      <c r="U42" s="165">
        <f ca="1"/>
        <v>8.563395635424631E-2</v>
      </c>
      <c r="V42" s="140">
        <f ca="1"/>
        <v>0.14232940770448343</v>
      </c>
      <c r="W42" s="139">
        <f ca="1"/>
        <v>0</v>
      </c>
      <c r="X42" s="165">
        <f ca="1"/>
        <v>9.3277418569359671E-4</v>
      </c>
      <c r="Y42" s="165">
        <f ca="1"/>
        <v>3.3596695419041422E-3</v>
      </c>
      <c r="Z42" s="165">
        <f ca="1"/>
        <v>1.2760608640467686E-2</v>
      </c>
      <c r="AA42" s="165">
        <f ca="1"/>
        <v>2.2167147027429834E-2</v>
      </c>
      <c r="AB42" s="165">
        <f ca="1"/>
        <v>0</v>
      </c>
      <c r="AC42" s="165">
        <f ca="1"/>
        <v>5.2914775167116068E-2</v>
      </c>
      <c r="AD42" s="165">
        <f ca="1"/>
        <v>8.9754785567385031E-2</v>
      </c>
      <c r="AE42" s="140">
        <f ca="1"/>
        <v>0.14902385798654083</v>
      </c>
      <c r="AH42" s="137"/>
      <c r="AI42" s="137"/>
      <c r="AJ42" s="137"/>
      <c r="AK42" s="137"/>
      <c r="AM42" s="137"/>
      <c r="AN42" s="137"/>
      <c r="AO42" s="137"/>
      <c r="AQ42" s="137"/>
      <c r="AR42" s="137"/>
      <c r="AS42" s="137"/>
      <c r="AT42" s="137"/>
      <c r="AV42" s="137"/>
      <c r="AW42" s="137"/>
      <c r="AX42" s="137"/>
    </row>
    <row r="43" spans="1:50" s="79" customFormat="1" ht="10.199999999999999" x14ac:dyDescent="0.2">
      <c r="A43" s="97">
        <f t="shared" ca="1" si="2"/>
        <v>32</v>
      </c>
      <c r="B43" s="68" t="s">
        <v>120</v>
      </c>
      <c r="C43" s="98">
        <v>0.4</v>
      </c>
      <c r="D43" s="69" t="s">
        <v>66</v>
      </c>
      <c r="E43" s="138" t="s">
        <v>87</v>
      </c>
      <c r="F43" s="158">
        <v>3.3E-4</v>
      </c>
      <c r="G43" s="158">
        <v>9.1E-4</v>
      </c>
      <c r="H43" s="158">
        <v>1.64E-3</v>
      </c>
      <c r="I43" s="158">
        <v>2.1800000000000001E-3</v>
      </c>
      <c r="J43" s="158" t="s">
        <v>87</v>
      </c>
      <c r="K43" s="158">
        <v>3.0000000000000001E-3</v>
      </c>
      <c r="L43" s="158">
        <v>3.4499999999999999E-3</v>
      </c>
      <c r="M43" s="158">
        <v>3.8E-3</v>
      </c>
      <c r="N43" s="139" cm="1">
        <f t="array" aca="1" ref="N43:AE43" ca="1">IF(OR(B43="",NOT($J$2)),"",GetStripDefaultProbability(A43,B43,Parameter_Date,CDSRollDate,E43:M43,SpreadCurveMaturities,D43,C43,$J$4,$J$6))</f>
        <v>0</v>
      </c>
      <c r="O43" s="165">
        <f ca="1"/>
        <v>3.0791204380475889E-4</v>
      </c>
      <c r="P43" s="165">
        <f ca="1"/>
        <v>1.6183348522856855E-3</v>
      </c>
      <c r="Q43" s="165">
        <f ca="1"/>
        <v>5.707668657119358E-3</v>
      </c>
      <c r="R43" s="165">
        <f ca="1"/>
        <v>1.1318032247323528E-2</v>
      </c>
      <c r="S43" s="165">
        <f ca="1"/>
        <v>0</v>
      </c>
      <c r="T43" s="165">
        <f ca="1"/>
        <v>2.5883336012398894E-2</v>
      </c>
      <c r="U43" s="165">
        <f ca="1"/>
        <v>4.1496299204004661E-2</v>
      </c>
      <c r="V43" s="140">
        <f ca="1"/>
        <v>6.4772868566127517E-2</v>
      </c>
      <c r="W43" s="139">
        <f ca="1"/>
        <v>0</v>
      </c>
      <c r="X43" s="165">
        <f ca="1"/>
        <v>4.0119979617647683E-4</v>
      </c>
      <c r="Y43" s="165">
        <f ca="1"/>
        <v>1.7847179308290162E-3</v>
      </c>
      <c r="Z43" s="165">
        <f ca="1"/>
        <v>6.0390442019192525E-3</v>
      </c>
      <c r="AA43" s="165">
        <f ca="1"/>
        <v>1.185671711477565E-2</v>
      </c>
      <c r="AB43" s="165">
        <f ca="1"/>
        <v>0</v>
      </c>
      <c r="AC43" s="165">
        <f ca="1"/>
        <v>2.7155954645366798E-2</v>
      </c>
      <c r="AD43" s="165">
        <f ca="1"/>
        <v>4.352689589916392E-2</v>
      </c>
      <c r="AE43" s="140">
        <f ca="1"/>
        <v>6.7905453064559862E-2</v>
      </c>
      <c r="AH43" s="137"/>
      <c r="AI43" s="137"/>
      <c r="AJ43" s="137"/>
      <c r="AK43" s="137"/>
      <c r="AM43" s="137"/>
      <c r="AN43" s="137"/>
      <c r="AO43" s="137"/>
      <c r="AQ43" s="137"/>
      <c r="AR43" s="137"/>
      <c r="AS43" s="137"/>
      <c r="AT43" s="137"/>
      <c r="AV43" s="137"/>
      <c r="AW43" s="137"/>
      <c r="AX43" s="137"/>
    </row>
    <row r="44" spans="1:50" s="79" customFormat="1" ht="10.199999999999999" x14ac:dyDescent="0.2">
      <c r="A44" s="97">
        <f t="shared" ca="1" si="2"/>
        <v>33</v>
      </c>
      <c r="B44" s="68" t="s">
        <v>121</v>
      </c>
      <c r="C44" s="98">
        <v>0.4</v>
      </c>
      <c r="D44" s="69" t="s">
        <v>66</v>
      </c>
      <c r="E44" s="138" t="s">
        <v>87</v>
      </c>
      <c r="F44" s="158">
        <v>8.3000000000000001E-4</v>
      </c>
      <c r="G44" s="158">
        <v>1.7600000000000001E-3</v>
      </c>
      <c r="H44" s="158">
        <v>2.8300000000000001E-3</v>
      </c>
      <c r="I44" s="158">
        <v>3.5100000000000001E-3</v>
      </c>
      <c r="J44" s="158" t="s">
        <v>87</v>
      </c>
      <c r="K44" s="158">
        <v>4.7999999999999996E-3</v>
      </c>
      <c r="L44" s="158">
        <v>5.3E-3</v>
      </c>
      <c r="M44" s="158">
        <v>5.7000000000000002E-3</v>
      </c>
      <c r="N44" s="139" cm="1">
        <f t="array" aca="1" ref="N44:AE44" ca="1">IF(OR(B44="",NOT($J$2)),"",GetStripDefaultProbability(A44,B44,Parameter_Date,CDSRollDate,E44:M44,SpreadCurveMaturities,D44,C44,$J$4,$J$6))</f>
        <v>0</v>
      </c>
      <c r="O44" s="165">
        <f ca="1"/>
        <v>7.7426518583145754E-4</v>
      </c>
      <c r="P44" s="165">
        <f ca="1"/>
        <v>3.1238513696929537E-3</v>
      </c>
      <c r="Q44" s="165">
        <f ca="1"/>
        <v>9.8159153599322035E-3</v>
      </c>
      <c r="R44" s="165">
        <f ca="1"/>
        <v>1.8117314012283336E-2</v>
      </c>
      <c r="S44" s="165">
        <f ca="1"/>
        <v>0</v>
      </c>
      <c r="T44" s="165">
        <f ca="1"/>
        <v>4.1099003016145552E-2</v>
      </c>
      <c r="U44" s="165">
        <f ca="1"/>
        <v>6.2849835350691996E-2</v>
      </c>
      <c r="V44" s="140">
        <f ca="1"/>
        <v>9.5137941485691324E-2</v>
      </c>
      <c r="W44" s="139">
        <f ca="1"/>
        <v>0</v>
      </c>
      <c r="X44" s="165">
        <f ca="1"/>
        <v>8.675083806602979E-4</v>
      </c>
      <c r="Y44" s="165">
        <f ca="1"/>
        <v>3.2899835497303132E-3</v>
      </c>
      <c r="Z44" s="165">
        <f ca="1"/>
        <v>1.0302749516613585E-2</v>
      </c>
      <c r="AA44" s="165">
        <f ca="1"/>
        <v>1.9014304598799825E-2</v>
      </c>
      <c r="AB44" s="165">
        <f ca="1"/>
        <v>0</v>
      </c>
      <c r="AC44" s="165">
        <f ca="1"/>
        <v>4.3112983413628903E-2</v>
      </c>
      <c r="AD44" s="165">
        <f ca="1"/>
        <v>6.5900627521431998E-2</v>
      </c>
      <c r="AE44" s="140">
        <f ca="1"/>
        <v>9.9669361217358809E-2</v>
      </c>
      <c r="AH44" s="137"/>
      <c r="AI44" s="137"/>
      <c r="AJ44" s="137"/>
      <c r="AK44" s="137"/>
      <c r="AM44" s="137"/>
      <c r="AN44" s="137"/>
      <c r="AO44" s="137"/>
      <c r="AQ44" s="137"/>
      <c r="AR44" s="137"/>
      <c r="AS44" s="137"/>
      <c r="AT44" s="137"/>
      <c r="AV44" s="137"/>
      <c r="AW44" s="137"/>
      <c r="AX44" s="137"/>
    </row>
    <row r="45" spans="1:50" s="79" customFormat="1" ht="10.199999999999999" x14ac:dyDescent="0.2">
      <c r="A45" s="97">
        <f t="shared" ca="1" si="2"/>
        <v>34</v>
      </c>
      <c r="B45" s="68" t="s">
        <v>122</v>
      </c>
      <c r="C45" s="98">
        <v>0.4</v>
      </c>
      <c r="D45" s="69" t="s">
        <v>66</v>
      </c>
      <c r="E45" s="138" t="s">
        <v>87</v>
      </c>
      <c r="F45" s="158">
        <v>1.1999999999999999E-3</v>
      </c>
      <c r="G45" s="158">
        <v>1.4E-3</v>
      </c>
      <c r="H45" s="158">
        <v>1.8E-3</v>
      </c>
      <c r="I45" s="158">
        <v>2.3E-3</v>
      </c>
      <c r="J45" s="158" t="s">
        <v>87</v>
      </c>
      <c r="K45" s="158">
        <v>2.7000000000000001E-3</v>
      </c>
      <c r="L45" s="158">
        <v>3.3E-3</v>
      </c>
      <c r="M45" s="158">
        <v>4.1000000000000003E-3</v>
      </c>
      <c r="N45" s="139" cm="1">
        <f t="array" aca="1" ref="N45:AE45" ca="1">IF(OR(B45="",NOT($J$2)),"",GetStripDefaultProbability(A45,B45,Parameter_Date,CDSRollDate,E45:M45,SpreadCurveMaturities,D45,C45,$J$4,$J$6))</f>
        <v>0</v>
      </c>
      <c r="O45" s="165">
        <f ca="1"/>
        <v>1.1192267699196012E-3</v>
      </c>
      <c r="P45" s="165">
        <f ca="1"/>
        <v>2.4727728897788737E-3</v>
      </c>
      <c r="Q45" s="165">
        <f ca="1"/>
        <v>6.2181054788749135E-3</v>
      </c>
      <c r="R45" s="165">
        <f ca="1"/>
        <v>1.1878069924751711E-2</v>
      </c>
      <c r="S45" s="165">
        <f ca="1"/>
        <v>0</v>
      </c>
      <c r="T45" s="165">
        <f ca="1"/>
        <v>2.307204786649053E-2</v>
      </c>
      <c r="U45" s="165">
        <f ca="1"/>
        <v>3.9697804238450374E-2</v>
      </c>
      <c r="V45" s="140">
        <f ca="1"/>
        <v>7.0966065842030579E-2</v>
      </c>
      <c r="W45" s="139">
        <f ca="1"/>
        <v>0</v>
      </c>
      <c r="X45" s="165">
        <f ca="1"/>
        <v>1.2124363949111983E-3</v>
      </c>
      <c r="Y45" s="165">
        <f ca="1"/>
        <v>2.6390135738471043E-3</v>
      </c>
      <c r="Z45" s="165">
        <f ca="1"/>
        <v>6.5493109064017618E-3</v>
      </c>
      <c r="AA45" s="165">
        <f ca="1"/>
        <v>1.2465212703264728E-2</v>
      </c>
      <c r="AB45" s="165">
        <f ca="1"/>
        <v>0</v>
      </c>
      <c r="AC45" s="165">
        <f ca="1"/>
        <v>2.4209120776706006E-2</v>
      </c>
      <c r="AD45" s="165">
        <f ca="1"/>
        <v>4.1643831189542735E-2</v>
      </c>
      <c r="AE45" s="140">
        <f ca="1"/>
        <v>7.4395663213154717E-2</v>
      </c>
      <c r="AH45" s="137"/>
      <c r="AI45" s="137"/>
      <c r="AJ45" s="137"/>
      <c r="AK45" s="137"/>
      <c r="AM45" s="137"/>
      <c r="AN45" s="137"/>
      <c r="AO45" s="137"/>
      <c r="AQ45" s="137"/>
      <c r="AR45" s="137"/>
      <c r="AS45" s="137"/>
      <c r="AT45" s="137"/>
      <c r="AV45" s="137"/>
      <c r="AW45" s="137"/>
      <c r="AX45" s="137"/>
    </row>
    <row r="46" spans="1:50" s="79" customFormat="1" ht="10.199999999999999" x14ac:dyDescent="0.2">
      <c r="A46" s="97">
        <f t="shared" ca="1" si="2"/>
        <v>35</v>
      </c>
      <c r="B46" s="68" t="s">
        <v>123</v>
      </c>
      <c r="C46" s="98">
        <v>0.4</v>
      </c>
      <c r="D46" s="69" t="s">
        <v>66</v>
      </c>
      <c r="E46" s="138" t="s">
        <v>87</v>
      </c>
      <c r="F46" s="158">
        <v>4.0000000000000002E-4</v>
      </c>
      <c r="G46" s="158">
        <v>8.9999999999999998E-4</v>
      </c>
      <c r="H46" s="158">
        <v>1.4E-3</v>
      </c>
      <c r="I46" s="158">
        <v>1.8E-3</v>
      </c>
      <c r="J46" s="158" t="s">
        <v>87</v>
      </c>
      <c r="K46" s="158">
        <v>2.7000000000000001E-3</v>
      </c>
      <c r="L46" s="158">
        <v>3.3999999999999998E-3</v>
      </c>
      <c r="M46" s="158">
        <v>4.1000000000000003E-3</v>
      </c>
      <c r="N46" s="139" cm="1">
        <f t="array" aca="1" ref="N46:AE46" ca="1">IF(OR(B46="",NOT($J$2)),"",GetStripDefaultProbability(A46,B46,Parameter_Date,CDSRollDate,E46:M46,SpreadCurveMaturities,D46,C46,$J$4,$J$6))</f>
        <v>0</v>
      </c>
      <c r="O46" s="165">
        <f ca="1"/>
        <v>3.7321455535799242E-4</v>
      </c>
      <c r="P46" s="165">
        <f ca="1"/>
        <v>1.5988606883324818E-3</v>
      </c>
      <c r="Q46" s="165">
        <f ca="1"/>
        <v>4.863427124660813E-3</v>
      </c>
      <c r="R46" s="165">
        <f ca="1"/>
        <v>9.3319792535664359E-3</v>
      </c>
      <c r="S46" s="165">
        <f ca="1"/>
        <v>0</v>
      </c>
      <c r="T46" s="165">
        <f ca="1"/>
        <v>2.338588891533544E-2</v>
      </c>
      <c r="U46" s="165">
        <f ca="1"/>
        <v>4.1315643955607495E-2</v>
      </c>
      <c r="V46" s="140">
        <f ca="1"/>
        <v>7.1105172598705635E-2</v>
      </c>
      <c r="W46" s="139">
        <f ca="1"/>
        <v>0</v>
      </c>
      <c r="X46" s="165">
        <f ca="1"/>
        <v>4.6649612398852458E-4</v>
      </c>
      <c r="Y46" s="165">
        <f ca="1"/>
        <v>1.7652470123107333E-3</v>
      </c>
      <c r="Z46" s="165">
        <f ca="1"/>
        <v>5.1950840363904627E-3</v>
      </c>
      <c r="AA46" s="165">
        <f ca="1"/>
        <v>9.8271894510683078E-3</v>
      </c>
      <c r="AB46" s="165">
        <f ca="1"/>
        <v>0</v>
      </c>
      <c r="AC46" s="165">
        <f ca="1"/>
        <v>2.453048488327092E-2</v>
      </c>
      <c r="AD46" s="165">
        <f ca="1"/>
        <v>4.3333283785154997E-2</v>
      </c>
      <c r="AE46" s="140">
        <f ca="1"/>
        <v>7.4534792362937363E-2</v>
      </c>
      <c r="AH46" s="137"/>
      <c r="AI46" s="137"/>
      <c r="AJ46" s="137"/>
      <c r="AK46" s="137"/>
      <c r="AM46" s="137"/>
      <c r="AN46" s="137"/>
      <c r="AO46" s="137"/>
      <c r="AQ46" s="137"/>
      <c r="AR46" s="137"/>
      <c r="AS46" s="137"/>
      <c r="AT46" s="137"/>
      <c r="AV46" s="137"/>
      <c r="AW46" s="137"/>
      <c r="AX46" s="137"/>
    </row>
    <row r="47" spans="1:50" s="79" customFormat="1" ht="10.199999999999999" x14ac:dyDescent="0.2">
      <c r="A47" s="97">
        <f t="shared" ca="1" si="2"/>
        <v>36</v>
      </c>
      <c r="B47" s="68" t="s">
        <v>124</v>
      </c>
      <c r="C47" s="98">
        <v>0.4</v>
      </c>
      <c r="D47" s="69" t="s">
        <v>66</v>
      </c>
      <c r="E47" s="138" t="s">
        <v>87</v>
      </c>
      <c r="F47" s="158">
        <v>1.8500000000000001E-3</v>
      </c>
      <c r="G47" s="158">
        <v>2.0699999999999998E-3</v>
      </c>
      <c r="H47" s="158">
        <v>2.81E-3</v>
      </c>
      <c r="I47" s="158">
        <v>3.2599999999999999E-3</v>
      </c>
      <c r="J47" s="158" t="s">
        <v>87</v>
      </c>
      <c r="K47" s="158">
        <v>4.1000000000000003E-3</v>
      </c>
      <c r="L47" s="158">
        <v>4.5999999999999999E-3</v>
      </c>
      <c r="M47" s="158">
        <v>5.0000000000000001E-3</v>
      </c>
      <c r="N47" s="139" cm="1">
        <f t="array" aca="1" ref="N47:AE47" ca="1">IF(OR(B47="",NOT($J$2)),"",GetStripDefaultProbability(A47,B47,Parameter_Date,CDSRollDate,E47:M47,SpreadCurveMaturities,D47,C47,$J$4,$J$6))</f>
        <v>0</v>
      </c>
      <c r="O47" s="165">
        <f ca="1"/>
        <v>1.7249527500857731E-3</v>
      </c>
      <c r="P47" s="165">
        <f ca="1"/>
        <v>3.6523560322061499E-3</v>
      </c>
      <c r="Q47" s="165">
        <f ca="1"/>
        <v>9.7006156171811631E-3</v>
      </c>
      <c r="R47" s="165">
        <f ca="1"/>
        <v>1.6748605724256849E-2</v>
      </c>
      <c r="S47" s="165">
        <f ca="1"/>
        <v>0</v>
      </c>
      <c r="T47" s="165">
        <f ca="1"/>
        <v>3.4943990683157899E-2</v>
      </c>
      <c r="U47" s="165">
        <f ca="1"/>
        <v>5.4585764443587759E-2</v>
      </c>
      <c r="V47" s="140">
        <f ca="1"/>
        <v>8.3884219733089016E-2</v>
      </c>
      <c r="W47" s="139">
        <f ca="1"/>
        <v>0</v>
      </c>
      <c r="X47" s="165">
        <f ca="1"/>
        <v>1.8181021060176272E-3</v>
      </c>
      <c r="Y47" s="165">
        <f ca="1"/>
        <v>3.8242111778519217E-3</v>
      </c>
      <c r="Z47" s="165">
        <f ca="1"/>
        <v>1.0183584375195176E-2</v>
      </c>
      <c r="AA47" s="165">
        <f ca="1"/>
        <v>1.7579792963657304E-2</v>
      </c>
      <c r="AB47" s="165">
        <f ca="1"/>
        <v>0</v>
      </c>
      <c r="AC47" s="165">
        <f ca="1"/>
        <v>3.6661953212643095E-2</v>
      </c>
      <c r="AD47" s="165">
        <f ca="1"/>
        <v>5.7246203105075333E-2</v>
      </c>
      <c r="AE47" s="140">
        <f ca="1"/>
        <v>8.790503178325737E-2</v>
      </c>
      <c r="AH47" s="137"/>
      <c r="AI47" s="137"/>
      <c r="AJ47" s="137"/>
      <c r="AK47" s="137"/>
      <c r="AM47" s="137"/>
      <c r="AN47" s="137"/>
      <c r="AO47" s="137"/>
      <c r="AQ47" s="137"/>
      <c r="AR47" s="137"/>
      <c r="AS47" s="137"/>
      <c r="AT47" s="137"/>
      <c r="AV47" s="137"/>
      <c r="AW47" s="137"/>
      <c r="AX47" s="137"/>
    </row>
    <row r="48" spans="1:50" s="79" customFormat="1" ht="10.199999999999999" x14ac:dyDescent="0.2">
      <c r="A48" s="97">
        <f t="shared" ca="1" si="2"/>
        <v>37</v>
      </c>
      <c r="B48" s="68" t="s">
        <v>125</v>
      </c>
      <c r="C48" s="98">
        <v>0.4</v>
      </c>
      <c r="D48" s="69" t="s">
        <v>66</v>
      </c>
      <c r="E48" s="138" t="s">
        <v>87</v>
      </c>
      <c r="F48" s="158">
        <v>5.0000000000000001E-4</v>
      </c>
      <c r="G48" s="158">
        <v>6.9999999999999999E-4</v>
      </c>
      <c r="H48" s="158">
        <v>1.1000000000000001E-3</v>
      </c>
      <c r="I48" s="158">
        <v>1.5E-3</v>
      </c>
      <c r="J48" s="158" t="s">
        <v>87</v>
      </c>
      <c r="K48" s="158">
        <v>2.3999999999999998E-3</v>
      </c>
      <c r="L48" s="158">
        <v>3.0999999999999999E-3</v>
      </c>
      <c r="M48" s="158">
        <v>4.0000000000000001E-3</v>
      </c>
      <c r="N48" s="139" cm="1">
        <f t="array" aca="1" ref="N48:AE48" ca="1">IF(OR(B48="",NOT($J$2)),"",GetStripDefaultProbability(A48,B48,Parameter_Date,CDSRollDate,E48:M48,SpreadCurveMaturities,D48,C48,$J$4,$J$6))</f>
        <v>0</v>
      </c>
      <c r="O48" s="165">
        <f ca="1"/>
        <v>4.6649647376628689E-4</v>
      </c>
      <c r="P48" s="165">
        <f ca="1"/>
        <v>1.2393840374057552E-3</v>
      </c>
      <c r="Q48" s="165">
        <f ca="1"/>
        <v>3.8189018326942881E-3</v>
      </c>
      <c r="R48" s="165">
        <f ca="1"/>
        <v>7.7912790870436899E-3</v>
      </c>
      <c r="S48" s="165">
        <f ca="1"/>
        <v>0</v>
      </c>
      <c r="T48" s="165">
        <f ca="1"/>
        <v>2.087264731279681E-2</v>
      </c>
      <c r="U48" s="165">
        <f ca="1"/>
        <v>3.7866741834795437E-2</v>
      </c>
      <c r="V48" s="140">
        <f ca="1"/>
        <v>7.018186246624547E-2</v>
      </c>
      <c r="W48" s="139">
        <f ca="1"/>
        <v>0</v>
      </c>
      <c r="X48" s="165">
        <f ca="1"/>
        <v>5.5976917815403482E-4</v>
      </c>
      <c r="Y48" s="165">
        <f ca="1"/>
        <v>1.4058302691598579E-3</v>
      </c>
      <c r="Z48" s="165">
        <f ca="1"/>
        <v>4.1509068615025457E-3</v>
      </c>
      <c r="AA48" s="165">
        <f ca="1"/>
        <v>8.2872594420970724E-3</v>
      </c>
      <c r="AB48" s="165">
        <f ca="1"/>
        <v>0</v>
      </c>
      <c r="AC48" s="165">
        <f ca="1"/>
        <v>2.1885533021417602E-2</v>
      </c>
      <c r="AD48" s="165">
        <f ca="1"/>
        <v>3.9709482573193511E-2</v>
      </c>
      <c r="AE48" s="140">
        <f ca="1"/>
        <v>7.3562416697291577E-2</v>
      </c>
      <c r="AH48" s="137"/>
      <c r="AI48" s="137"/>
      <c r="AJ48" s="137"/>
      <c r="AK48" s="137"/>
      <c r="AM48" s="137"/>
      <c r="AN48" s="137"/>
      <c r="AO48" s="137"/>
      <c r="AQ48" s="137"/>
      <c r="AR48" s="137"/>
      <c r="AS48" s="137"/>
      <c r="AT48" s="137"/>
      <c r="AV48" s="137"/>
      <c r="AW48" s="137"/>
      <c r="AX48" s="137"/>
    </row>
    <row r="49" spans="1:50" s="79" customFormat="1" ht="10.199999999999999" x14ac:dyDescent="0.2">
      <c r="A49" s="97">
        <f t="shared" ca="1" si="2"/>
        <v>38</v>
      </c>
      <c r="B49" s="68" t="s">
        <v>126</v>
      </c>
      <c r="C49" s="98">
        <v>0.4</v>
      </c>
      <c r="D49" s="69" t="s">
        <v>66</v>
      </c>
      <c r="E49" s="138" t="s">
        <v>87</v>
      </c>
      <c r="F49" s="158">
        <v>1.1000000000000001E-3</v>
      </c>
      <c r="G49" s="158">
        <v>1.6000000000000001E-3</v>
      </c>
      <c r="H49" s="158">
        <v>2E-3</v>
      </c>
      <c r="I49" s="158">
        <v>2.8E-3</v>
      </c>
      <c r="J49" s="158" t="s">
        <v>87</v>
      </c>
      <c r="K49" s="158">
        <v>3.8999999999999998E-3</v>
      </c>
      <c r="L49" s="158">
        <v>4.5999999999999999E-3</v>
      </c>
      <c r="M49" s="158">
        <v>5.5999999999999999E-3</v>
      </c>
      <c r="N49" s="139" cm="1">
        <f t="array" aca="1" ref="N49:AE49" ca="1">IF(OR(B49="",NOT($J$2)),"",GetStripDefaultProbability(A49,B49,Parameter_Date,CDSRollDate,E49:M49,SpreadCurveMaturities,D49,C49,$J$4,$J$6))</f>
        <v>0</v>
      </c>
      <c r="O49" s="165">
        <f ca="1"/>
        <v>1.0260056262103578E-3</v>
      </c>
      <c r="P49" s="165">
        <f ca="1"/>
        <v>2.8319832602154982E-3</v>
      </c>
      <c r="Q49" s="165">
        <f ca="1"/>
        <v>6.9097030011058269E-3</v>
      </c>
      <c r="R49" s="165">
        <f ca="1"/>
        <v>1.4493466106794584E-2</v>
      </c>
      <c r="S49" s="165">
        <f ca="1"/>
        <v>0</v>
      </c>
      <c r="T49" s="165">
        <f ca="1"/>
        <v>3.354292417265381E-2</v>
      </c>
      <c r="U49" s="165">
        <f ca="1"/>
        <v>5.5157941352731443E-2</v>
      </c>
      <c r="V49" s="140">
        <f ca="1"/>
        <v>9.5834152942573692E-2</v>
      </c>
      <c r="W49" s="139">
        <f ca="1"/>
        <v>0</v>
      </c>
      <c r="X49" s="165">
        <f ca="1"/>
        <v>1.1192243755654419E-3</v>
      </c>
      <c r="Y49" s="165">
        <f ca="1"/>
        <v>2.9981640808945942E-3</v>
      </c>
      <c r="Z49" s="165">
        <f ca="1"/>
        <v>7.2406779345630667E-3</v>
      </c>
      <c r="AA49" s="165">
        <f ca="1"/>
        <v>1.5212246318829892E-2</v>
      </c>
      <c r="AB49" s="165">
        <f ca="1"/>
        <v>0</v>
      </c>
      <c r="AC49" s="165">
        <f ca="1"/>
        <v>3.5192991485346381E-2</v>
      </c>
      <c r="AD49" s="165">
        <f ca="1"/>
        <v>5.7848048078561254E-2</v>
      </c>
      <c r="AE49" s="140">
        <f ca="1"/>
        <v>0.10043850678638611</v>
      </c>
      <c r="AH49" s="137"/>
      <c r="AI49" s="137"/>
      <c r="AJ49" s="137"/>
      <c r="AK49" s="137"/>
      <c r="AM49" s="137"/>
      <c r="AN49" s="137"/>
      <c r="AO49" s="137"/>
      <c r="AQ49" s="137"/>
      <c r="AR49" s="137"/>
      <c r="AS49" s="137"/>
      <c r="AT49" s="137"/>
      <c r="AV49" s="137"/>
      <c r="AW49" s="137"/>
      <c r="AX49" s="137"/>
    </row>
    <row r="50" spans="1:50" s="79" customFormat="1" ht="10.199999999999999" x14ac:dyDescent="0.2">
      <c r="A50" s="97">
        <f t="shared" ca="1" si="2"/>
        <v>39</v>
      </c>
      <c r="B50" s="68" t="s">
        <v>127</v>
      </c>
      <c r="C50" s="98">
        <v>0.4</v>
      </c>
      <c r="D50" s="69" t="s">
        <v>66</v>
      </c>
      <c r="E50" s="138" t="s">
        <v>87</v>
      </c>
      <c r="F50" s="158">
        <v>6.9999999999999999E-4</v>
      </c>
      <c r="G50" s="158">
        <v>8.9999999999999998E-4</v>
      </c>
      <c r="H50" s="158">
        <v>1.2999999999999999E-3</v>
      </c>
      <c r="I50" s="158">
        <v>1.8E-3</v>
      </c>
      <c r="J50" s="158" t="s">
        <v>87</v>
      </c>
      <c r="K50" s="158">
        <v>2.8999999999999998E-3</v>
      </c>
      <c r="L50" s="158">
        <v>3.5999999999999999E-3</v>
      </c>
      <c r="M50" s="158">
        <v>4.4000000000000003E-3</v>
      </c>
      <c r="N50" s="139" cm="1">
        <f t="array" aca="1" ref="N50:AE50" ca="1">IF(OR(B50="",NOT($J$2)),"",GetStripDefaultProbability(A50,B50,Parameter_Date,CDSRollDate,E50:M50,SpreadCurveMaturities,D50,C50,$J$4,$J$6))</f>
        <v>0</v>
      </c>
      <c r="O50" s="165">
        <f ca="1"/>
        <v>6.5303425461338271E-4</v>
      </c>
      <c r="P50" s="165">
        <f ca="1"/>
        <v>1.5919363832663791E-3</v>
      </c>
      <c r="Q50" s="165">
        <f ca="1"/>
        <v>4.5049779671811896E-3</v>
      </c>
      <c r="R50" s="165">
        <f ca="1"/>
        <v>9.3413032568433474E-3</v>
      </c>
      <c r="S50" s="165">
        <f ca="1"/>
        <v>0</v>
      </c>
      <c r="T50" s="165">
        <f ca="1"/>
        <v>2.5187106521088243E-2</v>
      </c>
      <c r="U50" s="165">
        <f ca="1"/>
        <v>4.373884782314752E-2</v>
      </c>
      <c r="V50" s="140">
        <f ca="1"/>
        <v>7.6330945809923612E-2</v>
      </c>
      <c r="W50" s="139">
        <f ca="1"/>
        <v>0</v>
      </c>
      <c r="X50" s="165">
        <f ca="1"/>
        <v>7.4628912209839804E-4</v>
      </c>
      <c r="Y50" s="165">
        <f ca="1"/>
        <v>1.7583238612038921E-3</v>
      </c>
      <c r="Z50" s="165">
        <f ca="1"/>
        <v>4.8367543420609893E-3</v>
      </c>
      <c r="AA50" s="165">
        <f ca="1"/>
        <v>9.8365087935210482E-3</v>
      </c>
      <c r="AB50" s="165">
        <f ca="1"/>
        <v>0</v>
      </c>
      <c r="AC50" s="165">
        <f ca="1"/>
        <v>2.6419521538332713E-2</v>
      </c>
      <c r="AD50" s="165">
        <f ca="1"/>
        <v>4.5873150137558327E-2</v>
      </c>
      <c r="AE50" s="140">
        <f ca="1"/>
        <v>8.0004541953453301E-2</v>
      </c>
      <c r="AH50" s="137"/>
      <c r="AI50" s="137"/>
      <c r="AJ50" s="137"/>
      <c r="AK50" s="137"/>
      <c r="AM50" s="137"/>
      <c r="AN50" s="137"/>
      <c r="AO50" s="137"/>
      <c r="AQ50" s="137"/>
      <c r="AR50" s="137"/>
      <c r="AS50" s="137"/>
      <c r="AT50" s="137"/>
      <c r="AV50" s="137"/>
      <c r="AW50" s="137"/>
      <c r="AX50" s="137"/>
    </row>
    <row r="51" spans="1:50" s="79" customFormat="1" ht="10.199999999999999" x14ac:dyDescent="0.2">
      <c r="A51" s="97">
        <f t="shared" ca="1" si="2"/>
        <v>40</v>
      </c>
      <c r="B51" s="68" t="s">
        <v>128</v>
      </c>
      <c r="C51" s="98">
        <v>0.4</v>
      </c>
      <c r="D51" s="69" t="s">
        <v>66</v>
      </c>
      <c r="E51" s="138" t="s">
        <v>87</v>
      </c>
      <c r="F51" s="158">
        <v>1.1999999999999999E-3</v>
      </c>
      <c r="G51" s="158">
        <v>2.3999999999999998E-3</v>
      </c>
      <c r="H51" s="158">
        <v>3.8E-3</v>
      </c>
      <c r="I51" s="158">
        <v>5.4000000000000003E-3</v>
      </c>
      <c r="J51" s="158" t="s">
        <v>87</v>
      </c>
      <c r="K51" s="158">
        <v>8.0000000000000002E-3</v>
      </c>
      <c r="L51" s="158">
        <v>9.5999999999999992E-3</v>
      </c>
      <c r="M51" s="158">
        <v>1.12E-2</v>
      </c>
      <c r="N51" s="139" cm="1">
        <f t="array" aca="1" ref="N51:AE51" ca="1">IF(OR(B51="",NOT($J$2)),"",GetStripDefaultProbability(A51,B51,Parameter_Date,CDSRollDate,E51:M51,SpreadCurveMaturities,D51,C51,$J$4,$J$6))</f>
        <v>0</v>
      </c>
      <c r="O51" s="165">
        <f ca="1"/>
        <v>1.1192267699196012E-3</v>
      </c>
      <c r="P51" s="165">
        <f ca="1"/>
        <v>4.2564095498333065E-3</v>
      </c>
      <c r="Q51" s="165">
        <f ca="1"/>
        <v>1.3159080580618099E-2</v>
      </c>
      <c r="R51" s="165">
        <f ca="1"/>
        <v>2.7893590235657295E-2</v>
      </c>
      <c r="S51" s="165">
        <f ca="1"/>
        <v>0</v>
      </c>
      <c r="T51" s="165">
        <f ca="1"/>
        <v>6.8213026034832258E-2</v>
      </c>
      <c r="U51" s="165">
        <f ca="1"/>
        <v>0.11298230983541657</v>
      </c>
      <c r="V51" s="140">
        <f ca="1"/>
        <v>0.18388205815089287</v>
      </c>
      <c r="W51" s="139">
        <f ca="1"/>
        <v>0</v>
      </c>
      <c r="X51" s="165">
        <f ca="1"/>
        <v>1.2124363949111983E-3</v>
      </c>
      <c r="Y51" s="165">
        <f ca="1"/>
        <v>4.4555383543698479E-3</v>
      </c>
      <c r="Z51" s="165">
        <f ca="1"/>
        <v>1.3812676503109578E-2</v>
      </c>
      <c r="AA51" s="165">
        <f ca="1"/>
        <v>2.9272014220732223E-2</v>
      </c>
      <c r="AB51" s="165">
        <f ca="1"/>
        <v>0</v>
      </c>
      <c r="AC51" s="165">
        <f ca="1"/>
        <v>7.1517174503141434E-2</v>
      </c>
      <c r="AD51" s="165">
        <f ca="1"/>
        <v>0.11837575715230753</v>
      </c>
      <c r="AE51" s="140">
        <f ca="1"/>
        <v>0.19235618811830713</v>
      </c>
      <c r="AH51" s="137"/>
      <c r="AI51" s="137"/>
      <c r="AJ51" s="137"/>
      <c r="AK51" s="137"/>
      <c r="AM51" s="137"/>
      <c r="AN51" s="137"/>
      <c r="AO51" s="137"/>
      <c r="AQ51" s="137"/>
      <c r="AR51" s="137"/>
      <c r="AS51" s="137"/>
      <c r="AT51" s="137"/>
      <c r="AV51" s="137"/>
      <c r="AW51" s="137"/>
      <c r="AX51" s="137"/>
    </row>
    <row r="52" spans="1:50" s="79" customFormat="1" ht="10.199999999999999" x14ac:dyDescent="0.2">
      <c r="A52" s="97">
        <f t="shared" ca="1" si="2"/>
        <v>41</v>
      </c>
      <c r="B52" s="68" t="s">
        <v>129</v>
      </c>
      <c r="C52" s="98">
        <v>0.4</v>
      </c>
      <c r="D52" s="69" t="s">
        <v>66</v>
      </c>
      <c r="E52" s="138" t="s">
        <v>87</v>
      </c>
      <c r="F52" s="158">
        <v>5.9999999999999995E-4</v>
      </c>
      <c r="G52" s="158">
        <v>6.9999999999999999E-4</v>
      </c>
      <c r="H52" s="158">
        <v>1.1999999999999999E-3</v>
      </c>
      <c r="I52" s="158">
        <v>1.8E-3</v>
      </c>
      <c r="J52" s="158" t="s">
        <v>87</v>
      </c>
      <c r="K52" s="158">
        <v>2.8E-3</v>
      </c>
      <c r="L52" s="158">
        <v>3.5000000000000001E-3</v>
      </c>
      <c r="M52" s="158">
        <v>4.4000000000000003E-3</v>
      </c>
      <c r="N52" s="139" cm="1">
        <f t="array" aca="1" ref="N52:AE52" ca="1">IF(OR(B52="",NOT($J$2)),"",GetStripDefaultProbability(A52,B52,Parameter_Date,CDSRollDate,E52:M52,SpreadCurveMaturities,D52,C52,$J$4,$J$6))</f>
        <v>0</v>
      </c>
      <c r="O52" s="165">
        <f ca="1"/>
        <v>5.5976970645477131E-4</v>
      </c>
      <c r="P52" s="165">
        <f ca="1"/>
        <v>1.2370924096177793E-3</v>
      </c>
      <c r="Q52" s="165">
        <f ca="1"/>
        <v>4.168163598396335E-3</v>
      </c>
      <c r="R52" s="165">
        <f ca="1"/>
        <v>9.3726826398450314E-3</v>
      </c>
      <c r="S52" s="165">
        <f ca="1"/>
        <v>0</v>
      </c>
      <c r="T52" s="165">
        <f ca="1"/>
        <v>2.4323686971222447E-2</v>
      </c>
      <c r="U52" s="165">
        <f ca="1"/>
        <v>4.2565322075433842E-2</v>
      </c>
      <c r="V52" s="140">
        <f ca="1"/>
        <v>7.6640163356687219E-2</v>
      </c>
      <c r="W52" s="139">
        <f ca="1"/>
        <v>0</v>
      </c>
      <c r="X52" s="165">
        <f ca="1"/>
        <v>6.5303351059242676E-4</v>
      </c>
      <c r="Y52" s="165">
        <f ca="1"/>
        <v>1.4035390232739475E-3</v>
      </c>
      <c r="Z52" s="165">
        <f ca="1"/>
        <v>4.5000522260189024E-3</v>
      </c>
      <c r="AA52" s="165">
        <f ca="1"/>
        <v>9.8678724907363957E-3</v>
      </c>
      <c r="AB52" s="165">
        <f ca="1"/>
        <v>0</v>
      </c>
      <c r="AC52" s="165">
        <f ca="1"/>
        <v>2.5512377981640189E-2</v>
      </c>
      <c r="AD52" s="165">
        <f ca="1"/>
        <v>4.464153021627304E-2</v>
      </c>
      <c r="AE52" s="140">
        <f ca="1"/>
        <v>8.0327678912490597E-2</v>
      </c>
      <c r="AH52" s="137"/>
      <c r="AI52" s="137"/>
      <c r="AJ52" s="137"/>
      <c r="AK52" s="137"/>
      <c r="AM52" s="137"/>
      <c r="AN52" s="137"/>
      <c r="AO52" s="137"/>
      <c r="AQ52" s="137"/>
      <c r="AR52" s="137"/>
      <c r="AS52" s="137"/>
      <c r="AT52" s="137"/>
      <c r="AV52" s="137"/>
      <c r="AW52" s="137"/>
      <c r="AX52" s="137"/>
    </row>
    <row r="53" spans="1:50" s="79" customFormat="1" ht="10.199999999999999" x14ac:dyDescent="0.2">
      <c r="A53" s="97">
        <f t="shared" ca="1" si="2"/>
        <v>42</v>
      </c>
      <c r="B53" s="68" t="s">
        <v>130</v>
      </c>
      <c r="C53" s="98">
        <v>0.4</v>
      </c>
      <c r="D53" s="69" t="s">
        <v>66</v>
      </c>
      <c r="E53" s="138" t="s">
        <v>87</v>
      </c>
      <c r="F53" s="158">
        <v>6.9999999999999999E-4</v>
      </c>
      <c r="G53" s="158">
        <v>8.0000000000000004E-4</v>
      </c>
      <c r="H53" s="158">
        <v>1.1000000000000001E-3</v>
      </c>
      <c r="I53" s="158">
        <v>1.6999999999999999E-3</v>
      </c>
      <c r="J53" s="158" t="s">
        <v>87</v>
      </c>
      <c r="K53" s="158">
        <v>2.8E-3</v>
      </c>
      <c r="L53" s="158">
        <v>3.5999999999999999E-3</v>
      </c>
      <c r="M53" s="158">
        <v>4.4999999999999997E-3</v>
      </c>
      <c r="N53" s="139" cm="1">
        <f t="array" aca="1" ref="N53:AE53" ca="1">IF(OR(B53="",NOT($J$2)),"",GetStripDefaultProbability(A53,B53,Parameter_Date,CDSRollDate,E53:M53,SpreadCurveMaturities,D53,C53,$J$4,$J$6))</f>
        <v>0</v>
      </c>
      <c r="O53" s="165">
        <f ca="1"/>
        <v>6.5303425461338271E-4</v>
      </c>
      <c r="P53" s="165">
        <f ca="1"/>
        <v>1.4133760813656027E-3</v>
      </c>
      <c r="Q53" s="165">
        <f ca="1"/>
        <v>3.8081167578655206E-3</v>
      </c>
      <c r="R53" s="165">
        <f ca="1"/>
        <v>8.8471919618654526E-3</v>
      </c>
      <c r="S53" s="165">
        <f ca="1"/>
        <v>0</v>
      </c>
      <c r="T53" s="165">
        <f ca="1"/>
        <v>2.4370875257495928E-2</v>
      </c>
      <c r="U53" s="165">
        <f ca="1"/>
        <v>4.3913279691079832E-2</v>
      </c>
      <c r="V53" s="140">
        <f ca="1"/>
        <v>7.8426141643443192E-2</v>
      </c>
      <c r="W53" s="139">
        <f ca="1"/>
        <v>0</v>
      </c>
      <c r="X53" s="165">
        <f ca="1"/>
        <v>7.4628912209839804E-4</v>
      </c>
      <c r="Y53" s="165">
        <f ca="1"/>
        <v>1.5797933168700817E-3</v>
      </c>
      <c r="Z53" s="165">
        <f ca="1"/>
        <v>4.1401253811014227E-3</v>
      </c>
      <c r="AA53" s="165">
        <f ca="1"/>
        <v>9.342644492444041E-3</v>
      </c>
      <c r="AB53" s="165">
        <f ca="1"/>
        <v>0</v>
      </c>
      <c r="AC53" s="165">
        <f ca="1"/>
        <v>2.5559618163948028E-2</v>
      </c>
      <c r="AD53" s="165">
        <f ca="1"/>
        <v>4.605279688690489E-2</v>
      </c>
      <c r="AE53" s="140">
        <f ca="1"/>
        <v>8.2195464178909883E-2</v>
      </c>
      <c r="AH53" s="137"/>
      <c r="AI53" s="137"/>
      <c r="AJ53" s="137"/>
      <c r="AK53" s="137"/>
      <c r="AM53" s="137"/>
      <c r="AN53" s="137"/>
      <c r="AO53" s="137"/>
      <c r="AQ53" s="137"/>
      <c r="AR53" s="137"/>
      <c r="AS53" s="137"/>
      <c r="AT53" s="137"/>
      <c r="AV53" s="137"/>
      <c r="AW53" s="137"/>
      <c r="AX53" s="137"/>
    </row>
    <row r="54" spans="1:50" s="79" customFormat="1" ht="10.199999999999999" x14ac:dyDescent="0.2">
      <c r="A54" s="97">
        <f t="shared" ca="1" si="2"/>
        <v>43</v>
      </c>
      <c r="B54" s="68" t="s">
        <v>131</v>
      </c>
      <c r="C54" s="98">
        <v>0.4</v>
      </c>
      <c r="D54" s="69" t="s">
        <v>66</v>
      </c>
      <c r="E54" s="138" t="s">
        <v>87</v>
      </c>
      <c r="F54" s="158">
        <v>4.0000000000000002E-4</v>
      </c>
      <c r="G54" s="158">
        <v>5.9999999999999995E-4</v>
      </c>
      <c r="H54" s="158">
        <v>1E-3</v>
      </c>
      <c r="I54" s="158">
        <v>1.4E-3</v>
      </c>
      <c r="J54" s="158" t="s">
        <v>87</v>
      </c>
      <c r="K54" s="158">
        <v>2.0999999999999999E-3</v>
      </c>
      <c r="L54" s="158">
        <v>2.3999999999999998E-3</v>
      </c>
      <c r="M54" s="158">
        <v>2.8999999999999998E-3</v>
      </c>
      <c r="N54" s="139" cm="1">
        <f t="array" aca="1" ref="N54:AE54" ca="1">IF(OR(B54="",NOT($J$2)),"",GetStripDefaultProbability(A54,B54,Parameter_Date,CDSRollDate,E54:M54,SpreadCurveMaturities,D54,C54,$J$4,$J$6))</f>
        <v>0</v>
      </c>
      <c r="O54" s="165">
        <f ca="1"/>
        <v>3.7321455535799242E-4</v>
      </c>
      <c r="P54" s="165">
        <f ca="1"/>
        <v>1.0630611822488589E-3</v>
      </c>
      <c r="Q54" s="165">
        <f ca="1"/>
        <v>3.4756867805590952E-3</v>
      </c>
      <c r="R54" s="165">
        <f ca="1"/>
        <v>7.2824471614238995E-3</v>
      </c>
      <c r="S54" s="165">
        <f ca="1"/>
        <v>0</v>
      </c>
      <c r="T54" s="165">
        <f ca="1"/>
        <v>1.8242093189316022E-2</v>
      </c>
      <c r="U54" s="165">
        <f ca="1"/>
        <v>2.906521157143549E-2</v>
      </c>
      <c r="V54" s="140">
        <f ca="1"/>
        <v>5.0473999193011654E-2</v>
      </c>
      <c r="W54" s="139">
        <f ca="1"/>
        <v>0</v>
      </c>
      <c r="X54" s="165">
        <f ca="1"/>
        <v>4.6649612398852458E-4</v>
      </c>
      <c r="Y54" s="165">
        <f ca="1"/>
        <v>1.2295367987036343E-3</v>
      </c>
      <c r="Z54" s="165">
        <f ca="1"/>
        <v>3.8078061953094045E-3</v>
      </c>
      <c r="AA54" s="165">
        <f ca="1"/>
        <v>7.7786818688141413E-3</v>
      </c>
      <c r="AB54" s="165">
        <f ca="1"/>
        <v>0</v>
      </c>
      <c r="AC54" s="165">
        <f ca="1"/>
        <v>1.9122656502941204E-2</v>
      </c>
      <c r="AD54" s="165">
        <f ca="1"/>
        <v>3.0476005129223438E-2</v>
      </c>
      <c r="AE54" s="140">
        <f ca="1"/>
        <v>5.2915553746441968E-2</v>
      </c>
      <c r="AH54" s="137"/>
      <c r="AI54" s="137"/>
      <c r="AJ54" s="137"/>
      <c r="AK54" s="137"/>
      <c r="AM54" s="137"/>
      <c r="AN54" s="137"/>
      <c r="AO54" s="137"/>
      <c r="AQ54" s="137"/>
      <c r="AR54" s="137"/>
      <c r="AS54" s="137"/>
      <c r="AT54" s="137"/>
      <c r="AV54" s="137"/>
      <c r="AW54" s="137"/>
      <c r="AX54" s="137"/>
    </row>
    <row r="55" spans="1:50" s="79" customFormat="1" ht="10.199999999999999" x14ac:dyDescent="0.2">
      <c r="A55" s="97">
        <f t="shared" ca="1" si="2"/>
        <v>44</v>
      </c>
      <c r="B55" s="68" t="s">
        <v>132</v>
      </c>
      <c r="C55" s="98">
        <v>0.4</v>
      </c>
      <c r="D55" s="69" t="s">
        <v>66</v>
      </c>
      <c r="E55" s="138" t="s">
        <v>87</v>
      </c>
      <c r="F55" s="158">
        <v>5.9999999999999995E-4</v>
      </c>
      <c r="G55" s="158">
        <v>1.1000000000000001E-3</v>
      </c>
      <c r="H55" s="158">
        <v>1.8E-3</v>
      </c>
      <c r="I55" s="158">
        <v>2.5000000000000001E-3</v>
      </c>
      <c r="J55" s="158" t="s">
        <v>87</v>
      </c>
      <c r="K55" s="158">
        <v>3.3999999999999998E-3</v>
      </c>
      <c r="L55" s="158">
        <v>4.1999999999999997E-3</v>
      </c>
      <c r="M55" s="158">
        <v>5.0000000000000001E-3</v>
      </c>
      <c r="N55" s="139" cm="1">
        <f t="array" aca="1" ref="N55:AE55" ca="1">IF(OR(B55="",NOT($J$2)),"",GetStripDefaultProbability(A55,B55,Parameter_Date,CDSRollDate,E55:M55,SpreadCurveMaturities,D55,C55,$J$4,$J$6))</f>
        <v>0</v>
      </c>
      <c r="O55" s="165">
        <f ca="1"/>
        <v>5.5976970645477131E-4</v>
      </c>
      <c r="P55" s="165">
        <f ca="1"/>
        <v>1.9513369250531154E-3</v>
      </c>
      <c r="Q55" s="165">
        <f ca="1"/>
        <v>6.251244813289647E-3</v>
      </c>
      <c r="R55" s="165">
        <f ca="1"/>
        <v>1.2976139796623376E-2</v>
      </c>
      <c r="S55" s="165">
        <f ca="1"/>
        <v>0</v>
      </c>
      <c r="T55" s="165">
        <f ca="1"/>
        <v>2.9284874543838768E-2</v>
      </c>
      <c r="U55" s="165">
        <f ca="1"/>
        <v>5.0670106258528747E-2</v>
      </c>
      <c r="V55" s="140">
        <f ca="1"/>
        <v>8.5863424164008495E-2</v>
      </c>
      <c r="W55" s="139">
        <f ca="1"/>
        <v>0</v>
      </c>
      <c r="X55" s="165">
        <f ca="1"/>
        <v>6.5303351059242676E-4</v>
      </c>
      <c r="Y55" s="165">
        <f ca="1"/>
        <v>2.1176645078776479E-3</v>
      </c>
      <c r="Z55" s="165">
        <f ca="1"/>
        <v>6.5824391962300277E-3</v>
      </c>
      <c r="AA55" s="165">
        <f ca="1"/>
        <v>1.361617221708622E-2</v>
      </c>
      <c r="AB55" s="165">
        <f ca="1"/>
        <v>0</v>
      </c>
      <c r="AC55" s="165">
        <f ca="1"/>
        <v>3.0724263344651725E-2</v>
      </c>
      <c r="AD55" s="165">
        <f ca="1"/>
        <v>5.3143316132187812E-2</v>
      </c>
      <c r="AE55" s="140">
        <f ca="1"/>
        <v>8.9982800697777199E-2</v>
      </c>
      <c r="AH55" s="137"/>
      <c r="AI55" s="137"/>
      <c r="AJ55" s="137"/>
      <c r="AK55" s="137"/>
      <c r="AM55" s="137"/>
      <c r="AN55" s="137"/>
      <c r="AO55" s="137"/>
      <c r="AQ55" s="137"/>
      <c r="AR55" s="137"/>
      <c r="AS55" s="137"/>
      <c r="AT55" s="137"/>
      <c r="AV55" s="137"/>
      <c r="AW55" s="137"/>
      <c r="AX55" s="137"/>
    </row>
    <row r="56" spans="1:50" s="79" customFormat="1" ht="10.199999999999999" x14ac:dyDescent="0.2">
      <c r="A56" s="97">
        <f t="shared" ca="1" si="2"/>
        <v>45</v>
      </c>
      <c r="B56" s="68" t="s">
        <v>133</v>
      </c>
      <c r="C56" s="98">
        <v>0.4</v>
      </c>
      <c r="D56" s="69" t="s">
        <v>66</v>
      </c>
      <c r="E56" s="138" t="s">
        <v>87</v>
      </c>
      <c r="F56" s="158">
        <v>5.9999999999999995E-4</v>
      </c>
      <c r="G56" s="158">
        <v>1.4E-3</v>
      </c>
      <c r="H56" s="158">
        <v>2.0999999999999999E-3</v>
      </c>
      <c r="I56" s="158">
        <v>2.7000000000000001E-3</v>
      </c>
      <c r="J56" s="158" t="s">
        <v>87</v>
      </c>
      <c r="K56" s="158">
        <v>3.5999999999999999E-3</v>
      </c>
      <c r="L56" s="158">
        <v>4.4000000000000003E-3</v>
      </c>
      <c r="M56" s="158">
        <v>5.1999999999999998E-3</v>
      </c>
      <c r="N56" s="139" cm="1">
        <f t="array" aca="1" ref="N56:AE56" ca="1">IF(OR(B56="",NOT($J$2)),"",GetStripDefaultProbability(A56,B56,Parameter_Date,CDSRollDate,E56:M56,SpreadCurveMaturities,D56,C56,$J$4,$J$6))</f>
        <v>0</v>
      </c>
      <c r="O56" s="165">
        <f ca="1"/>
        <v>5.5976970645477131E-4</v>
      </c>
      <c r="P56" s="165">
        <f ca="1"/>
        <v>2.4868647357575435E-3</v>
      </c>
      <c r="Q56" s="165">
        <f ca="1"/>
        <v>7.2852370881738571E-3</v>
      </c>
      <c r="R56" s="165">
        <f ca="1"/>
        <v>1.3969990233609342E-2</v>
      </c>
      <c r="S56" s="165">
        <f ca="1"/>
        <v>0</v>
      </c>
      <c r="T56" s="165">
        <f ca="1"/>
        <v>3.0917953882941163E-2</v>
      </c>
      <c r="U56" s="165">
        <f ca="1"/>
        <v>5.2912291978478687E-2</v>
      </c>
      <c r="V56" s="140">
        <f ca="1"/>
        <v>8.8962047575243397E-2</v>
      </c>
      <c r="W56" s="139">
        <f ca="1"/>
        <v>0</v>
      </c>
      <c r="X56" s="165">
        <f ca="1"/>
        <v>6.5303351059242676E-4</v>
      </c>
      <c r="Y56" s="165">
        <f ca="1"/>
        <v>2.6531030713873305E-3</v>
      </c>
      <c r="Z56" s="165">
        <f ca="1"/>
        <v>7.6326264585211412E-3</v>
      </c>
      <c r="AA56" s="165">
        <f ca="1"/>
        <v>1.4661695393955232E-2</v>
      </c>
      <c r="AB56" s="165">
        <f ca="1"/>
        <v>0</v>
      </c>
      <c r="AC56" s="165">
        <f ca="1"/>
        <v>3.2439112509106804E-2</v>
      </c>
      <c r="AD56" s="165">
        <f ca="1"/>
        <v>5.5494523447188859E-2</v>
      </c>
      <c r="AE56" s="140">
        <f ca="1"/>
        <v>9.322485626102528E-2</v>
      </c>
      <c r="AH56" s="137"/>
      <c r="AI56" s="137"/>
      <c r="AJ56" s="137"/>
      <c r="AK56" s="137"/>
      <c r="AM56" s="137"/>
      <c r="AN56" s="137"/>
      <c r="AO56" s="137"/>
      <c r="AQ56" s="137"/>
      <c r="AR56" s="137"/>
      <c r="AS56" s="137"/>
      <c r="AT56" s="137"/>
      <c r="AV56" s="137"/>
      <c r="AW56" s="137"/>
      <c r="AX56" s="137"/>
    </row>
    <row r="57" spans="1:50" s="79" customFormat="1" ht="10.199999999999999" x14ac:dyDescent="0.2">
      <c r="A57" s="97">
        <f t="shared" ca="1" si="2"/>
        <v>46</v>
      </c>
      <c r="B57" s="68" t="s">
        <v>134</v>
      </c>
      <c r="C57" s="98">
        <v>0.4</v>
      </c>
      <c r="D57" s="69" t="s">
        <v>66</v>
      </c>
      <c r="E57" s="138" t="s">
        <v>87</v>
      </c>
      <c r="F57" s="158">
        <v>5.0000000000000001E-4</v>
      </c>
      <c r="G57" s="158">
        <v>8.0000000000000004E-4</v>
      </c>
      <c r="H57" s="158">
        <v>1.4E-3</v>
      </c>
      <c r="I57" s="158">
        <v>2.2000000000000001E-3</v>
      </c>
      <c r="J57" s="158" t="s">
        <v>87</v>
      </c>
      <c r="K57" s="158">
        <v>3.5000000000000001E-3</v>
      </c>
      <c r="L57" s="158">
        <v>4.3E-3</v>
      </c>
      <c r="M57" s="158">
        <v>5.3E-3</v>
      </c>
      <c r="N57" s="139" cm="1">
        <f t="array" aca="1" ref="N57:AE57" ca="1">IF(OR(B57="",NOT($J$2)),"",GetStripDefaultProbability(A57,B57,Parameter_Date,CDSRollDate,E57:M57,SpreadCurveMaturities,D57,C57,$J$4,$J$6))</f>
        <v>0</v>
      </c>
      <c r="O57" s="165">
        <f ca="1"/>
        <v>4.6649647376628689E-4</v>
      </c>
      <c r="P57" s="165">
        <f ca="1"/>
        <v>1.4179756342108663E-3</v>
      </c>
      <c r="Q57" s="165">
        <f ca="1"/>
        <v>4.867290882233144E-3</v>
      </c>
      <c r="R57" s="165">
        <f ca="1"/>
        <v>1.1467482644420768E-2</v>
      </c>
      <c r="S57" s="165">
        <f ca="1"/>
        <v>0</v>
      </c>
      <c r="T57" s="165">
        <f ca="1"/>
        <v>3.038900410503742E-2</v>
      </c>
      <c r="U57" s="165">
        <f ca="1"/>
        <v>5.2082522728499336E-2</v>
      </c>
      <c r="V57" s="140">
        <f ca="1"/>
        <v>9.1518634897342577E-2</v>
      </c>
      <c r="W57" s="139">
        <f ca="1"/>
        <v>0</v>
      </c>
      <c r="X57" s="165">
        <f ca="1"/>
        <v>5.5976917815403482E-4</v>
      </c>
      <c r="Y57" s="165">
        <f ca="1"/>
        <v>1.5843921031823971E-3</v>
      </c>
      <c r="Z57" s="165">
        <f ca="1"/>
        <v>5.1989465062567408E-3</v>
      </c>
      <c r="AA57" s="165">
        <f ca="1"/>
        <v>1.201102604084181E-2</v>
      </c>
      <c r="AB57" s="165">
        <f ca="1"/>
        <v>0</v>
      </c>
      <c r="AC57" s="165">
        <f ca="1"/>
        <v>3.1879854988621115E-2</v>
      </c>
      <c r="AD57" s="165">
        <f ca="1"/>
        <v>5.46219150446976E-2</v>
      </c>
      <c r="AE57" s="140">
        <f ca="1"/>
        <v>9.5898377440347127E-2</v>
      </c>
      <c r="AH57" s="137"/>
      <c r="AI57" s="137"/>
      <c r="AJ57" s="137"/>
      <c r="AK57" s="137"/>
      <c r="AM57" s="137"/>
      <c r="AN57" s="137"/>
      <c r="AO57" s="137"/>
      <c r="AQ57" s="137"/>
      <c r="AR57" s="137"/>
      <c r="AS57" s="137"/>
      <c r="AT57" s="137"/>
      <c r="AV57" s="137"/>
      <c r="AW57" s="137"/>
      <c r="AX57" s="137"/>
    </row>
    <row r="58" spans="1:50" s="79" customFormat="1" ht="10.199999999999999" x14ac:dyDescent="0.2">
      <c r="A58" s="97">
        <f t="shared" ca="1" si="2"/>
        <v>47</v>
      </c>
      <c r="B58" s="68" t="s">
        <v>135</v>
      </c>
      <c r="C58" s="98">
        <v>0.4</v>
      </c>
      <c r="D58" s="69" t="s">
        <v>66</v>
      </c>
      <c r="E58" s="138" t="s">
        <v>87</v>
      </c>
      <c r="F58" s="158">
        <v>1.1999999999999999E-3</v>
      </c>
      <c r="G58" s="158">
        <v>1.6999999999999999E-3</v>
      </c>
      <c r="H58" s="158">
        <v>2.8E-3</v>
      </c>
      <c r="I58" s="158">
        <v>3.5000000000000001E-3</v>
      </c>
      <c r="J58" s="158" t="s">
        <v>87</v>
      </c>
      <c r="K58" s="158">
        <v>4.4999999999999997E-3</v>
      </c>
      <c r="L58" s="158">
        <v>5.1999999999999998E-3</v>
      </c>
      <c r="M58" s="158">
        <v>6.1999999999999998E-3</v>
      </c>
      <c r="N58" s="139" cm="1">
        <f t="array" aca="1" ref="N58:AE58" ca="1">IF(OR(B58="",NOT($J$2)),"",GetStripDefaultProbability(A58,B58,Parameter_Date,CDSRollDate,E58:M58,SpreadCurveMaturities,D58,C58,$J$4,$J$6))</f>
        <v>0</v>
      </c>
      <c r="O58" s="165">
        <f ca="1"/>
        <v>1.1192267699196012E-3</v>
      </c>
      <c r="P58" s="165">
        <f ca="1"/>
        <v>3.0080192722674592E-3</v>
      </c>
      <c r="Q58" s="165">
        <f ca="1"/>
        <v>9.7056338526321229E-3</v>
      </c>
      <c r="R58" s="165">
        <f ca="1"/>
        <v>1.8064211663813889E-2</v>
      </c>
      <c r="S58" s="165">
        <f ca="1"/>
        <v>0</v>
      </c>
      <c r="T58" s="165">
        <f ca="1"/>
        <v>3.8441749995414942E-2</v>
      </c>
      <c r="U58" s="165">
        <f ca="1"/>
        <v>6.1863310761928858E-2</v>
      </c>
      <c r="V58" s="140">
        <f ca="1"/>
        <v>0.10503576267547376</v>
      </c>
      <c r="W58" s="139">
        <f ca="1"/>
        <v>0</v>
      </c>
      <c r="X58" s="165">
        <f ca="1"/>
        <v>1.2124363949111983E-3</v>
      </c>
      <c r="Y58" s="165">
        <f ca="1"/>
        <v>3.1741707560468679E-3</v>
      </c>
      <c r="Z58" s="165">
        <f ca="1"/>
        <v>1.0187224765522473E-2</v>
      </c>
      <c r="AA58" s="165">
        <f ca="1"/>
        <v>1.8958837554105101E-2</v>
      </c>
      <c r="AB58" s="165">
        <f ca="1"/>
        <v>0</v>
      </c>
      <c r="AC58" s="165">
        <f ca="1"/>
        <v>4.032749548339376E-2</v>
      </c>
      <c r="AD58" s="165">
        <f ca="1"/>
        <v>6.4868551924553985E-2</v>
      </c>
      <c r="AE58" s="140">
        <f ca="1"/>
        <v>0.11005486830767153</v>
      </c>
      <c r="AH58" s="137"/>
      <c r="AI58" s="137"/>
      <c r="AJ58" s="137"/>
      <c r="AK58" s="137"/>
      <c r="AM58" s="137"/>
      <c r="AN58" s="137"/>
      <c r="AO58" s="137"/>
      <c r="AQ58" s="137"/>
      <c r="AR58" s="137"/>
      <c r="AS58" s="137"/>
      <c r="AT58" s="137"/>
      <c r="AV58" s="137"/>
      <c r="AW58" s="137"/>
      <c r="AX58" s="137"/>
    </row>
    <row r="59" spans="1:50" s="79" customFormat="1" ht="10.199999999999999" x14ac:dyDescent="0.2">
      <c r="A59" s="97">
        <f t="shared" ca="1" si="2"/>
        <v>48</v>
      </c>
      <c r="B59" s="68" t="s">
        <v>136</v>
      </c>
      <c r="C59" s="98">
        <v>0.4</v>
      </c>
      <c r="D59" s="69" t="s">
        <v>66</v>
      </c>
      <c r="E59" s="138" t="s">
        <v>87</v>
      </c>
      <c r="F59" s="158">
        <v>8.0000000000000004E-4</v>
      </c>
      <c r="G59" s="158">
        <v>1.2999999999999999E-3</v>
      </c>
      <c r="H59" s="158">
        <v>2.3E-3</v>
      </c>
      <c r="I59" s="158">
        <v>2.8999999999999998E-3</v>
      </c>
      <c r="J59" s="158" t="s">
        <v>87</v>
      </c>
      <c r="K59" s="158">
        <v>3.8E-3</v>
      </c>
      <c r="L59" s="158">
        <v>4.4999999999999997E-3</v>
      </c>
      <c r="M59" s="158">
        <v>5.4999999999999997E-3</v>
      </c>
      <c r="N59" s="139" cm="1">
        <f t="array" aca="1" ref="N59:AE59" ca="1">IF(OR(B59="",NOT($J$2)),"",GetStripDefaultProbability(A59,B59,Parameter_Date,CDSRollDate,E59:M59,SpreadCurveMaturities,D59,C59,$J$4,$J$6))</f>
        <v>0</v>
      </c>
      <c r="O59" s="165">
        <f ca="1"/>
        <v>7.4629011945415158E-4</v>
      </c>
      <c r="P59" s="165">
        <f ca="1"/>
        <v>2.303688737405718E-3</v>
      </c>
      <c r="Q59" s="165">
        <f ca="1"/>
        <v>7.9884382571985268E-3</v>
      </c>
      <c r="R59" s="165">
        <f ca="1"/>
        <v>1.5000734566490204E-2</v>
      </c>
      <c r="S59" s="165">
        <f ca="1"/>
        <v>0</v>
      </c>
      <c r="T59" s="165">
        <f ca="1"/>
        <v>3.258695132656797E-2</v>
      </c>
      <c r="U59" s="165">
        <f ca="1"/>
        <v>5.389769124570476E-2</v>
      </c>
      <c r="V59" s="140">
        <f ca="1"/>
        <v>9.4152179954304582E-2</v>
      </c>
      <c r="W59" s="139">
        <f ca="1"/>
        <v>0</v>
      </c>
      <c r="X59" s="165">
        <f ca="1"/>
        <v>8.3953601351138829E-4</v>
      </c>
      <c r="Y59" s="165">
        <f ca="1"/>
        <v>2.469957599831929E-3</v>
      </c>
      <c r="Z59" s="165">
        <f ca="1"/>
        <v>8.3686364798994939E-3</v>
      </c>
      <c r="AA59" s="165">
        <f ca="1"/>
        <v>1.5743369383149464E-2</v>
      </c>
      <c r="AB59" s="165">
        <f ca="1"/>
        <v>0</v>
      </c>
      <c r="AC59" s="165">
        <f ca="1"/>
        <v>3.4188987271228544E-2</v>
      </c>
      <c r="AD59" s="165">
        <f ca="1"/>
        <v>5.6525748625549599E-2</v>
      </c>
      <c r="AE59" s="140">
        <f ca="1"/>
        <v>9.8677367205618483E-2</v>
      </c>
      <c r="AH59" s="137"/>
      <c r="AI59" s="137"/>
      <c r="AJ59" s="137"/>
      <c r="AK59" s="137"/>
      <c r="AM59" s="137"/>
      <c r="AN59" s="137"/>
      <c r="AO59" s="137"/>
      <c r="AQ59" s="137"/>
      <c r="AR59" s="137"/>
      <c r="AS59" s="137"/>
      <c r="AT59" s="137"/>
      <c r="AV59" s="137"/>
      <c r="AW59" s="137"/>
      <c r="AX59" s="137"/>
    </row>
    <row r="60" spans="1:50" s="79" customFormat="1" ht="10.199999999999999" x14ac:dyDescent="0.2">
      <c r="A60" s="97">
        <f t="shared" ca="1" si="2"/>
        <v>49</v>
      </c>
      <c r="B60" s="68" t="s">
        <v>137</v>
      </c>
      <c r="C60" s="98">
        <v>0.4</v>
      </c>
      <c r="D60" s="69" t="s">
        <v>66</v>
      </c>
      <c r="E60" s="138" t="s">
        <v>87</v>
      </c>
      <c r="F60" s="158">
        <v>5.9999999999999995E-4</v>
      </c>
      <c r="G60" s="158">
        <v>8.9999999999999998E-4</v>
      </c>
      <c r="H60" s="158">
        <v>1.2999999999999999E-3</v>
      </c>
      <c r="I60" s="158">
        <v>1.6999999999999999E-3</v>
      </c>
      <c r="J60" s="158" t="s">
        <v>87</v>
      </c>
      <c r="K60" s="158">
        <v>2.2000000000000001E-3</v>
      </c>
      <c r="L60" s="158">
        <v>2.5999999999999999E-3</v>
      </c>
      <c r="M60" s="158">
        <v>3.2000000000000002E-3</v>
      </c>
      <c r="N60" s="139" cm="1">
        <f t="array" aca="1" ref="N60:AE60" ca="1">IF(OR(B60="",NOT($J$2)),"",GetStripDefaultProbability(A60,B60,Parameter_Date,CDSRollDate,E60:M60,SpreadCurveMaturities,D60,C60,$J$4,$J$6))</f>
        <v>0</v>
      </c>
      <c r="O60" s="165">
        <f ca="1"/>
        <v>5.5976970645477131E-4</v>
      </c>
      <c r="P60" s="165">
        <f ca="1"/>
        <v>1.5942443069785206E-3</v>
      </c>
      <c r="Q60" s="165">
        <f ca="1"/>
        <v>4.5073148760623738E-3</v>
      </c>
      <c r="R60" s="165">
        <f ca="1"/>
        <v>8.8105260587364453E-3</v>
      </c>
      <c r="S60" s="165">
        <f ca="1"/>
        <v>0</v>
      </c>
      <c r="T60" s="165">
        <f ca="1"/>
        <v>1.8951897423611364E-2</v>
      </c>
      <c r="U60" s="165">
        <f ca="1"/>
        <v>3.1399294656342502E-2</v>
      </c>
      <c r="V60" s="140">
        <f ca="1"/>
        <v>5.5664141563587566E-2</v>
      </c>
      <c r="W60" s="139">
        <f ca="1"/>
        <v>0</v>
      </c>
      <c r="X60" s="165">
        <f ca="1"/>
        <v>6.5303351059242676E-4</v>
      </c>
      <c r="Y60" s="165">
        <f ca="1"/>
        <v>1.7606314002855949E-3</v>
      </c>
      <c r="Z60" s="165">
        <f ca="1"/>
        <v>4.8390904721100636E-3</v>
      </c>
      <c r="AA60" s="165">
        <f ca="1"/>
        <v>9.3059969176833013E-3</v>
      </c>
      <c r="AB60" s="165">
        <f ca="1"/>
        <v>0</v>
      </c>
      <c r="AC60" s="165">
        <f ca="1"/>
        <v>1.9876324690714653E-2</v>
      </c>
      <c r="AD60" s="165">
        <f ca="1"/>
        <v>3.2932641136716678E-2</v>
      </c>
      <c r="AE60" s="140">
        <f ca="1"/>
        <v>5.8361977640355556E-2</v>
      </c>
      <c r="AH60" s="137"/>
      <c r="AI60" s="137"/>
      <c r="AJ60" s="137"/>
      <c r="AK60" s="137"/>
      <c r="AM60" s="137"/>
      <c r="AN60" s="137"/>
      <c r="AO60" s="137"/>
      <c r="AQ60" s="137"/>
      <c r="AR60" s="137"/>
      <c r="AS60" s="137"/>
      <c r="AT60" s="137"/>
      <c r="AV60" s="137"/>
      <c r="AW60" s="137"/>
      <c r="AX60" s="137"/>
    </row>
    <row r="61" spans="1:50" s="79" customFormat="1" ht="10.199999999999999" x14ac:dyDescent="0.2">
      <c r="A61" s="97">
        <f t="shared" ca="1" si="2"/>
        <v>50</v>
      </c>
      <c r="B61" s="68" t="s">
        <v>138</v>
      </c>
      <c r="C61" s="98">
        <v>0.4</v>
      </c>
      <c r="D61" s="69" t="s">
        <v>66</v>
      </c>
      <c r="E61" s="138" t="s">
        <v>87</v>
      </c>
      <c r="F61" s="158">
        <v>8.0000000000000004E-4</v>
      </c>
      <c r="G61" s="158">
        <v>1.1000000000000001E-3</v>
      </c>
      <c r="H61" s="158">
        <v>1.6000000000000001E-3</v>
      </c>
      <c r="I61" s="158">
        <v>1.8E-3</v>
      </c>
      <c r="J61" s="158" t="s">
        <v>87</v>
      </c>
      <c r="K61" s="158">
        <v>2.3999999999999998E-3</v>
      </c>
      <c r="L61" s="158">
        <v>2.8E-3</v>
      </c>
      <c r="M61" s="158">
        <v>3.5000000000000001E-3</v>
      </c>
      <c r="N61" s="139" cm="1">
        <f t="array" aca="1" ref="N61:AE61" ca="1">IF(OR(B61="",NOT($J$2)),"",GetStripDefaultProbability(A61,B61,Parameter_Date,CDSRollDate,E61:M61,SpreadCurveMaturities,D61,C61,$J$4,$J$6))</f>
        <v>0</v>
      </c>
      <c r="O61" s="165">
        <f ca="1"/>
        <v>7.4629011945415158E-4</v>
      </c>
      <c r="P61" s="165">
        <f ca="1"/>
        <v>1.9466883168717253E-3</v>
      </c>
      <c r="Q61" s="165">
        <f ca="1"/>
        <v>5.5441786962386885E-3</v>
      </c>
      <c r="R61" s="165">
        <f ca="1"/>
        <v>9.2770650459031989E-3</v>
      </c>
      <c r="S61" s="165">
        <f ca="1"/>
        <v>0</v>
      </c>
      <c r="T61" s="165">
        <f ca="1"/>
        <v>2.0640581026732163E-2</v>
      </c>
      <c r="U61" s="165">
        <f ca="1"/>
        <v>3.3720769938285655E-2</v>
      </c>
      <c r="V61" s="140">
        <f ca="1"/>
        <v>6.0827733042105647E-2</v>
      </c>
      <c r="W61" s="139">
        <f ca="1"/>
        <v>0</v>
      </c>
      <c r="X61" s="165">
        <f ca="1"/>
        <v>8.3953601351138829E-4</v>
      </c>
      <c r="Y61" s="165">
        <f ca="1"/>
        <v>2.1130166744011136E-3</v>
      </c>
      <c r="Z61" s="165">
        <f ca="1"/>
        <v>5.8756087286079284E-3</v>
      </c>
      <c r="AA61" s="165">
        <f ca="1"/>
        <v>9.7723026936430424E-3</v>
      </c>
      <c r="AB61" s="165">
        <f ca="1"/>
        <v>0</v>
      </c>
      <c r="AC61" s="165">
        <f ca="1"/>
        <v>2.1652956712295168E-2</v>
      </c>
      <c r="AD61" s="165">
        <f ca="1"/>
        <v>3.5371847657229227E-2</v>
      </c>
      <c r="AE61" s="140">
        <f ca="1"/>
        <v>6.3775130791538404E-2</v>
      </c>
      <c r="AH61" s="137"/>
      <c r="AI61" s="137"/>
      <c r="AJ61" s="137"/>
      <c r="AK61" s="137"/>
      <c r="AM61" s="137"/>
      <c r="AN61" s="137"/>
      <c r="AO61" s="137"/>
      <c r="AQ61" s="137"/>
      <c r="AR61" s="137"/>
      <c r="AS61" s="137"/>
      <c r="AT61" s="137"/>
      <c r="AV61" s="137"/>
      <c r="AW61" s="137"/>
      <c r="AX61" s="137"/>
    </row>
    <row r="62" spans="1:50" s="79" customFormat="1" ht="10.199999999999999" x14ac:dyDescent="0.2">
      <c r="A62" s="97">
        <f t="shared" ca="1" si="2"/>
        <v>51</v>
      </c>
      <c r="B62" s="68" t="s">
        <v>139</v>
      </c>
      <c r="C62" s="98">
        <v>0.4</v>
      </c>
      <c r="D62" s="69" t="s">
        <v>66</v>
      </c>
      <c r="E62" s="138" t="s">
        <v>87</v>
      </c>
      <c r="F62" s="158">
        <v>5.0000000000000001E-4</v>
      </c>
      <c r="G62" s="158">
        <v>5.9999999999999995E-4</v>
      </c>
      <c r="H62" s="158">
        <v>1.1999999999999999E-3</v>
      </c>
      <c r="I62" s="158">
        <v>1.6999999999999999E-3</v>
      </c>
      <c r="J62" s="158" t="s">
        <v>87</v>
      </c>
      <c r="K62" s="158">
        <v>2.7000000000000001E-3</v>
      </c>
      <c r="L62" s="158">
        <v>3.3E-3</v>
      </c>
      <c r="M62" s="158">
        <v>4.0000000000000001E-3</v>
      </c>
      <c r="N62" s="139" cm="1">
        <f t="array" aca="1" ref="N62:AE62" ca="1">IF(OR(B62="",NOT($J$2)),"",GetStripDefaultProbability(A62,B62,Parameter_Date,CDSRollDate,E62:M62,SpreadCurveMaturities,D62,C62,$J$4,$J$6))</f>
        <v>0</v>
      </c>
      <c r="O62" s="165">
        <f ca="1"/>
        <v>4.6649647376628689E-4</v>
      </c>
      <c r="P62" s="165">
        <f ca="1"/>
        <v>1.0607776163944482E-3</v>
      </c>
      <c r="Q62" s="165">
        <f ca="1"/>
        <v>4.1766586955125362E-3</v>
      </c>
      <c r="R62" s="165">
        <f ca="1"/>
        <v>8.8480558889270089E-3</v>
      </c>
      <c r="S62" s="165">
        <f ca="1"/>
        <v>0</v>
      </c>
      <c r="T62" s="165">
        <f ca="1"/>
        <v>2.3475519386312982E-2</v>
      </c>
      <c r="U62" s="165">
        <f ca="1"/>
        <v>4.0105043675279228E-2</v>
      </c>
      <c r="V62" s="140">
        <f ca="1"/>
        <v>6.9451716528340701E-2</v>
      </c>
      <c r="W62" s="139">
        <f ca="1"/>
        <v>0</v>
      </c>
      <c r="X62" s="165">
        <f ca="1"/>
        <v>5.5976917815403482E-4</v>
      </c>
      <c r="Y62" s="165">
        <f ca="1"/>
        <v>1.2272536134083634E-3</v>
      </c>
      <c r="Z62" s="165">
        <f ca="1"/>
        <v>4.5085444919210627E-3</v>
      </c>
      <c r="AA62" s="165">
        <f ca="1"/>
        <v>9.3435079876406091E-3</v>
      </c>
      <c r="AB62" s="165">
        <f ca="1"/>
        <v>0</v>
      </c>
      <c r="AC62" s="165">
        <f ca="1"/>
        <v>2.4620350916670475E-2</v>
      </c>
      <c r="AD62" s="165">
        <f ca="1"/>
        <v>4.20598863704571E-2</v>
      </c>
      <c r="AE62" s="140">
        <f ca="1"/>
        <v>7.2799443110313056E-2</v>
      </c>
      <c r="AH62" s="137"/>
      <c r="AI62" s="137"/>
      <c r="AJ62" s="137"/>
      <c r="AK62" s="137"/>
      <c r="AM62" s="137"/>
      <c r="AN62" s="137"/>
      <c r="AO62" s="137"/>
      <c r="AQ62" s="137"/>
      <c r="AR62" s="137"/>
      <c r="AS62" s="137"/>
      <c r="AT62" s="137"/>
      <c r="AV62" s="137"/>
      <c r="AW62" s="137"/>
      <c r="AX62" s="137"/>
    </row>
    <row r="63" spans="1:50" s="79" customFormat="1" ht="10.199999999999999" x14ac:dyDescent="0.2">
      <c r="A63" s="97">
        <f t="shared" ca="1" si="2"/>
        <v>52</v>
      </c>
      <c r="B63" s="68" t="s">
        <v>140</v>
      </c>
      <c r="C63" s="98">
        <v>0.4</v>
      </c>
      <c r="D63" s="69" t="s">
        <v>66</v>
      </c>
      <c r="E63" s="138" t="s">
        <v>87</v>
      </c>
      <c r="F63" s="158">
        <v>1E-3</v>
      </c>
      <c r="G63" s="158">
        <v>1.1999999999999999E-3</v>
      </c>
      <c r="H63" s="158">
        <v>1.5E-3</v>
      </c>
      <c r="I63" s="158">
        <v>2.2000000000000001E-3</v>
      </c>
      <c r="J63" s="158" t="s">
        <v>87</v>
      </c>
      <c r="K63" s="158">
        <v>3.0000000000000001E-3</v>
      </c>
      <c r="L63" s="158">
        <v>3.5999999999999999E-3</v>
      </c>
      <c r="M63" s="158">
        <v>4.5999999999999999E-3</v>
      </c>
      <c r="N63" s="139" cm="1">
        <f t="array" aca="1" ref="N63:AE63" ca="1">IF(OR(B63="",NOT($J$2)),"",GetStripDefaultProbability(A63,B63,Parameter_Date,CDSRollDate,E63:M63,SpreadCurveMaturities,D63,C63,$J$4,$J$6))</f>
        <v>0</v>
      </c>
      <c r="O63" s="165">
        <f ca="1"/>
        <v>9.3277580402983951E-4</v>
      </c>
      <c r="P63" s="165">
        <f ca="1"/>
        <v>2.1205315768093591E-3</v>
      </c>
      <c r="Q63" s="165">
        <f ca="1"/>
        <v>5.1820021332938948E-3</v>
      </c>
      <c r="R63" s="165">
        <f ca="1"/>
        <v>1.1413329307670916E-2</v>
      </c>
      <c r="S63" s="165">
        <f ca="1"/>
        <v>0</v>
      </c>
      <c r="T63" s="165">
        <f ca="1"/>
        <v>2.5864018214776463E-2</v>
      </c>
      <c r="U63" s="165">
        <f ca="1"/>
        <v>4.3425094255630126E-2</v>
      </c>
      <c r="V63" s="140">
        <f ca="1"/>
        <v>7.985092286916895E-2</v>
      </c>
      <c r="W63" s="139">
        <f ca="1"/>
        <v>0</v>
      </c>
      <c r="X63" s="165">
        <f ca="1"/>
        <v>1.0260036394392769E-3</v>
      </c>
      <c r="Y63" s="165">
        <f ca="1"/>
        <v>2.2868309628797379E-3</v>
      </c>
      <c r="Z63" s="165">
        <f ca="1"/>
        <v>5.5135528710731352E-3</v>
      </c>
      <c r="AA63" s="165">
        <f ca="1"/>
        <v>1.1956902480233178E-2</v>
      </c>
      <c r="AB63" s="165">
        <f ca="1"/>
        <v>0</v>
      </c>
      <c r="AC63" s="165">
        <f ca="1"/>
        <v>2.713620884994572E-2</v>
      </c>
      <c r="AD63" s="165">
        <f ca="1"/>
        <v>4.5549766440938777E-2</v>
      </c>
      <c r="AE63" s="140">
        <f ca="1"/>
        <v>8.3694119966252201E-2</v>
      </c>
      <c r="AH63" s="137"/>
      <c r="AI63" s="137"/>
      <c r="AJ63" s="137"/>
      <c r="AK63" s="137"/>
      <c r="AM63" s="137"/>
      <c r="AN63" s="137"/>
      <c r="AO63" s="137"/>
      <c r="AQ63" s="137"/>
      <c r="AR63" s="137"/>
      <c r="AS63" s="137"/>
      <c r="AT63" s="137"/>
      <c r="AV63" s="137"/>
      <c r="AW63" s="137"/>
      <c r="AX63" s="137"/>
    </row>
    <row r="64" spans="1:50" s="79" customFormat="1" ht="10.199999999999999" x14ac:dyDescent="0.2">
      <c r="A64" s="97">
        <f t="shared" ca="1" si="2"/>
        <v>53</v>
      </c>
      <c r="B64" s="68" t="s">
        <v>141</v>
      </c>
      <c r="C64" s="98">
        <v>0.4</v>
      </c>
      <c r="D64" s="69" t="s">
        <v>66</v>
      </c>
      <c r="E64" s="138" t="s">
        <v>87</v>
      </c>
      <c r="F64" s="158">
        <v>2.9999999999999997E-4</v>
      </c>
      <c r="G64" s="158">
        <v>5.0000000000000001E-4</v>
      </c>
      <c r="H64" s="158">
        <v>1E-3</v>
      </c>
      <c r="I64" s="158">
        <v>1.5E-3</v>
      </c>
      <c r="J64" s="158" t="s">
        <v>87</v>
      </c>
      <c r="K64" s="158">
        <v>2.3E-3</v>
      </c>
      <c r="L64" s="158">
        <v>2.8999999999999998E-3</v>
      </c>
      <c r="M64" s="158">
        <v>3.3999999999999998E-3</v>
      </c>
      <c r="N64" s="139" cm="1">
        <f t="array" aca="1" ref="N64:AE64" ca="1">IF(OR(B64="",NOT($J$2)),"",GetStripDefaultProbability(A64,B64,Parameter_Date,CDSRollDate,E64:M64,SpreadCurveMaturities,D64,C64,$J$4,$J$6))</f>
        <v>0</v>
      </c>
      <c r="O64" s="165">
        <f ca="1"/>
        <v>2.799239499720052E-4</v>
      </c>
      <c r="P64" s="165">
        <f ca="1"/>
        <v>8.8670719766348327E-4</v>
      </c>
      <c r="Q64" s="165">
        <f ca="1"/>
        <v>3.4841229513721261E-3</v>
      </c>
      <c r="R64" s="165">
        <f ca="1"/>
        <v>7.8246934916494926E-3</v>
      </c>
      <c r="S64" s="165">
        <f ca="1"/>
        <v>0</v>
      </c>
      <c r="T64" s="165">
        <f ca="1"/>
        <v>2.0009091265895895E-2</v>
      </c>
      <c r="U64" s="165">
        <f ca="1"/>
        <v>3.5384979759734869E-2</v>
      </c>
      <c r="V64" s="140">
        <f ca="1"/>
        <v>5.9077103439299283E-2</v>
      </c>
      <c r="W64" s="139">
        <f ca="1"/>
        <v>0</v>
      </c>
      <c r="X64" s="165">
        <f ca="1"/>
        <v>3.7321434723358582E-4</v>
      </c>
      <c r="Y64" s="165">
        <f ca="1"/>
        <v>1.0532122039936809E-3</v>
      </c>
      <c r="Z64" s="165">
        <f ca="1"/>
        <v>3.8162395545482397E-3</v>
      </c>
      <c r="AA64" s="165">
        <f ca="1"/>
        <v>8.3206571436648114E-3</v>
      </c>
      <c r="AB64" s="165">
        <f ca="1"/>
        <v>0</v>
      </c>
      <c r="AC64" s="165">
        <f ca="1"/>
        <v>2.0978005316632076E-2</v>
      </c>
      <c r="AD64" s="165">
        <f ca="1"/>
        <v>3.7105486021357215E-2</v>
      </c>
      <c r="AE64" s="140">
        <f ca="1"/>
        <v>6.1930004161832919E-2</v>
      </c>
      <c r="AH64" s="137"/>
      <c r="AI64" s="137"/>
      <c r="AJ64" s="137"/>
      <c r="AK64" s="137"/>
      <c r="AM64" s="137"/>
      <c r="AN64" s="137"/>
      <c r="AO64" s="137"/>
      <c r="AQ64" s="137"/>
      <c r="AR64" s="137"/>
      <c r="AS64" s="137"/>
      <c r="AT64" s="137"/>
      <c r="AV64" s="137"/>
      <c r="AW64" s="137"/>
      <c r="AX64" s="137"/>
    </row>
    <row r="65" spans="1:50" s="79" customFormat="1" ht="10.199999999999999" x14ac:dyDescent="0.2">
      <c r="A65" s="97">
        <f t="shared" ca="1" si="2"/>
        <v>54</v>
      </c>
      <c r="B65" s="68" t="s">
        <v>142</v>
      </c>
      <c r="C65" s="98">
        <v>0.4</v>
      </c>
      <c r="D65" s="69" t="s">
        <v>66</v>
      </c>
      <c r="E65" s="138" t="s">
        <v>87</v>
      </c>
      <c r="F65" s="158">
        <v>2.9999999999999997E-4</v>
      </c>
      <c r="G65" s="158">
        <v>5.0000000000000001E-4</v>
      </c>
      <c r="H65" s="158">
        <v>1E-3</v>
      </c>
      <c r="I65" s="158">
        <v>1.2999999999999999E-3</v>
      </c>
      <c r="J65" s="158" t="s">
        <v>87</v>
      </c>
      <c r="K65" s="158">
        <v>2E-3</v>
      </c>
      <c r="L65" s="158">
        <v>2.3999999999999998E-3</v>
      </c>
      <c r="M65" s="158">
        <v>2.8999999999999998E-3</v>
      </c>
      <c r="N65" s="139" cm="1">
        <f t="array" aca="1" ref="N65:AE65" ca="1">IF(OR(B65="",NOT($J$2)),"",GetStripDefaultProbability(A65,B65,Parameter_Date,CDSRollDate,E65:M65,SpreadCurveMaturities,D65,C65,$J$4,$J$6))</f>
        <v>0</v>
      </c>
      <c r="O65" s="165">
        <f ca="1"/>
        <v>2.799239499720052E-4</v>
      </c>
      <c r="P65" s="165">
        <f ca="1"/>
        <v>8.8670719766348327E-4</v>
      </c>
      <c r="Q65" s="165">
        <f ca="1"/>
        <v>3.4841229513721261E-3</v>
      </c>
      <c r="R65" s="165">
        <f ca="1"/>
        <v>6.7571933992420785E-3</v>
      </c>
      <c r="S65" s="165">
        <f ca="1"/>
        <v>0</v>
      </c>
      <c r="T65" s="165">
        <f ca="1"/>
        <v>1.739009491228849E-2</v>
      </c>
      <c r="U65" s="165">
        <f ca="1"/>
        <v>2.9202683696089138E-2</v>
      </c>
      <c r="V65" s="140">
        <f ca="1"/>
        <v>5.0611916198665563E-2</v>
      </c>
      <c r="W65" s="139">
        <f ca="1"/>
        <v>0</v>
      </c>
      <c r="X65" s="165">
        <f ca="1"/>
        <v>3.7321434723358582E-4</v>
      </c>
      <c r="Y65" s="165">
        <f ca="1"/>
        <v>1.0532122039936809E-3</v>
      </c>
      <c r="Z65" s="165">
        <f ca="1"/>
        <v>3.8162395545482397E-3</v>
      </c>
      <c r="AA65" s="165">
        <f ca="1"/>
        <v>7.2536906678892787E-3</v>
      </c>
      <c r="AB65" s="165">
        <f ca="1"/>
        <v>0</v>
      </c>
      <c r="AC65" s="165">
        <f ca="1"/>
        <v>1.8208595410654449E-2</v>
      </c>
      <c r="AD65" s="165">
        <f ca="1"/>
        <v>3.0620067885212765E-2</v>
      </c>
      <c r="AE65" s="140">
        <f ca="1"/>
        <v>5.3060319221868379E-2</v>
      </c>
      <c r="AH65" s="137"/>
      <c r="AI65" s="137"/>
      <c r="AJ65" s="137"/>
      <c r="AK65" s="137"/>
      <c r="AM65" s="137"/>
      <c r="AN65" s="137"/>
      <c r="AO65" s="137"/>
      <c r="AQ65" s="137"/>
      <c r="AR65" s="137"/>
      <c r="AS65" s="137"/>
      <c r="AT65" s="137"/>
      <c r="AV65" s="137"/>
      <c r="AW65" s="137"/>
      <c r="AX65" s="137"/>
    </row>
    <row r="66" spans="1:50" s="79" customFormat="1" ht="10.199999999999999" x14ac:dyDescent="0.2">
      <c r="A66" s="97">
        <f t="shared" ca="1" si="2"/>
        <v>55</v>
      </c>
      <c r="B66" s="68" t="s">
        <v>143</v>
      </c>
      <c r="C66" s="98">
        <v>0.4</v>
      </c>
      <c r="D66" s="69" t="s">
        <v>66</v>
      </c>
      <c r="E66" s="138" t="s">
        <v>87</v>
      </c>
      <c r="F66" s="158">
        <v>2.0000000000000001E-4</v>
      </c>
      <c r="G66" s="158">
        <v>5.0000000000000001E-4</v>
      </c>
      <c r="H66" s="158">
        <v>1.1000000000000001E-3</v>
      </c>
      <c r="I66" s="158">
        <v>1.4E-3</v>
      </c>
      <c r="J66" s="158" t="s">
        <v>87</v>
      </c>
      <c r="K66" s="158">
        <v>2.0999999999999999E-3</v>
      </c>
      <c r="L66" s="158">
        <v>2.5000000000000001E-3</v>
      </c>
      <c r="M66" s="158">
        <v>3.0000000000000001E-3</v>
      </c>
      <c r="N66" s="139" cm="1">
        <f t="array" aca="1" ref="N66:AE66" ca="1">IF(OR(B66="",NOT($J$2)),"",GetStripDefaultProbability(A66,B66,Parameter_Date,CDSRollDate,E66:M66,SpreadCurveMaturities,D66,C66,$J$4,$J$6))</f>
        <v>0</v>
      </c>
      <c r="O66" s="165">
        <f ca="1"/>
        <v>1.8662465644081472E-4</v>
      </c>
      <c r="P66" s="165">
        <f ca="1"/>
        <v>8.8898287499306061E-4</v>
      </c>
      <c r="Q66" s="165">
        <f ca="1"/>
        <v>3.838156259684089E-3</v>
      </c>
      <c r="R66" s="165">
        <f ca="1"/>
        <v>7.2771125037282003E-3</v>
      </c>
      <c r="S66" s="165">
        <f ca="1"/>
        <v>0</v>
      </c>
      <c r="T66" s="165">
        <f ca="1"/>
        <v>1.8236651611680976E-2</v>
      </c>
      <c r="U66" s="165">
        <f ca="1"/>
        <v>3.0367297518244629E-2</v>
      </c>
      <c r="V66" s="140">
        <f ca="1"/>
        <v>5.223579154271607E-2</v>
      </c>
      <c r="W66" s="139">
        <f ca="1"/>
        <v>0</v>
      </c>
      <c r="X66" s="165">
        <f ca="1"/>
        <v>2.799238471393739E-4</v>
      </c>
      <c r="Y66" s="165">
        <f ca="1"/>
        <v>1.0554875020748478E-3</v>
      </c>
      <c r="Z66" s="165">
        <f ca="1"/>
        <v>4.1701548714337955E-3</v>
      </c>
      <c r="AA66" s="165">
        <f ca="1"/>
        <v>7.7733498778103094E-3</v>
      </c>
      <c r="AB66" s="165">
        <f ca="1"/>
        <v>0</v>
      </c>
      <c r="AC66" s="165">
        <f ca="1"/>
        <v>1.9117197920441531E-2</v>
      </c>
      <c r="AD66" s="165">
        <f ca="1"/>
        <v>3.1842066044506234E-2</v>
      </c>
      <c r="AE66" s="140">
        <f ca="1"/>
        <v>5.4762023826658401E-2</v>
      </c>
      <c r="AH66" s="137"/>
      <c r="AI66" s="137"/>
      <c r="AJ66" s="137"/>
      <c r="AK66" s="137"/>
      <c r="AM66" s="137"/>
      <c r="AN66" s="137"/>
      <c r="AO66" s="137"/>
      <c r="AQ66" s="137"/>
      <c r="AR66" s="137"/>
      <c r="AS66" s="137"/>
      <c r="AT66" s="137"/>
      <c r="AV66" s="137"/>
      <c r="AW66" s="137"/>
      <c r="AX66" s="137"/>
    </row>
    <row r="67" spans="1:50" s="79" customFormat="1" ht="10.199999999999999" x14ac:dyDescent="0.2">
      <c r="A67" s="97">
        <f t="shared" ca="1" si="2"/>
        <v>56</v>
      </c>
      <c r="B67" s="68" t="s">
        <v>144</v>
      </c>
      <c r="C67" s="98">
        <v>0.4</v>
      </c>
      <c r="D67" s="69" t="s">
        <v>66</v>
      </c>
      <c r="E67" s="138" t="s">
        <v>87</v>
      </c>
      <c r="F67" s="158">
        <v>8.5999999999999998E-4</v>
      </c>
      <c r="G67" s="158">
        <v>1.2999999999999999E-3</v>
      </c>
      <c r="H67" s="158">
        <v>1.98E-3</v>
      </c>
      <c r="I67" s="158">
        <v>2.4099999999999998E-3</v>
      </c>
      <c r="J67" s="158" t="s">
        <v>87</v>
      </c>
      <c r="K67" s="158">
        <v>3.0999999999999999E-3</v>
      </c>
      <c r="L67" s="158">
        <v>3.5400000000000002E-3</v>
      </c>
      <c r="M67" s="158">
        <v>4.0000000000000001E-3</v>
      </c>
      <c r="N67" s="139" cm="1">
        <f t="array" aca="1" ref="N67:AE67" ca="1">IF(OR(B67="",NOT($J$2)),"",GetStripDefaultProbability(A67,B67,Parameter_Date,CDSRollDate,E67:M67,SpreadCurveMaturities,D67,C67,$J$4,$J$6))</f>
        <v>0</v>
      </c>
      <c r="O67" s="165">
        <f ca="1"/>
        <v>8.0223947087365577E-4</v>
      </c>
      <c r="P67" s="165">
        <f ca="1"/>
        <v>2.3022844157017941E-3</v>
      </c>
      <c r="Q67" s="165">
        <f ca="1"/>
        <v>6.8642683722616171E-3</v>
      </c>
      <c r="R67" s="165">
        <f ca="1"/>
        <v>1.2447862083945549E-2</v>
      </c>
      <c r="S67" s="165">
        <f ca="1"/>
        <v>0</v>
      </c>
      <c r="T67" s="165">
        <f ca="1"/>
        <v>2.6590591625168747E-2</v>
      </c>
      <c r="U67" s="165">
        <f ca="1"/>
        <v>4.2384300927073237E-2</v>
      </c>
      <c r="V67" s="140">
        <f ca="1"/>
        <v>6.817974349763134E-2</v>
      </c>
      <c r="W67" s="139">
        <f ca="1"/>
        <v>0</v>
      </c>
      <c r="X67" s="165">
        <f ca="1"/>
        <v>8.9547996308436684E-4</v>
      </c>
      <c r="Y67" s="165">
        <f ca="1"/>
        <v>2.468553512164906E-3</v>
      </c>
      <c r="Z67" s="165">
        <f ca="1"/>
        <v>7.1952584480513559E-3</v>
      </c>
      <c r="AA67" s="165">
        <f ca="1"/>
        <v>1.306399546404835E-2</v>
      </c>
      <c r="AB67" s="165">
        <f ca="1"/>
        <v>0</v>
      </c>
      <c r="AC67" s="165">
        <f ca="1"/>
        <v>2.7900623679631753E-2</v>
      </c>
      <c r="AD67" s="165">
        <f ca="1"/>
        <v>4.4460062425361602E-2</v>
      </c>
      <c r="AE67" s="140">
        <f ca="1"/>
        <v>7.147502584319565E-2</v>
      </c>
      <c r="AH67" s="137"/>
      <c r="AI67" s="137"/>
      <c r="AJ67" s="137"/>
      <c r="AK67" s="137"/>
      <c r="AM67" s="137"/>
      <c r="AN67" s="137"/>
      <c r="AO67" s="137"/>
      <c r="AQ67" s="137"/>
      <c r="AR67" s="137"/>
      <c r="AS67" s="137"/>
      <c r="AT67" s="137"/>
      <c r="AV67" s="137"/>
      <c r="AW67" s="137"/>
      <c r="AX67" s="137"/>
    </row>
    <row r="68" spans="1:50" s="79" customFormat="1" ht="10.199999999999999" x14ac:dyDescent="0.2">
      <c r="A68" s="97">
        <f t="shared" ca="1" si="2"/>
        <v>57</v>
      </c>
      <c r="B68" s="68" t="s">
        <v>145</v>
      </c>
      <c r="C68" s="98">
        <v>0.4</v>
      </c>
      <c r="D68" s="69" t="s">
        <v>66</v>
      </c>
      <c r="E68" s="138" t="s">
        <v>87</v>
      </c>
      <c r="F68" s="158">
        <v>1E-3</v>
      </c>
      <c r="G68" s="158">
        <v>1.8E-3</v>
      </c>
      <c r="H68" s="158">
        <v>2.5000000000000001E-3</v>
      </c>
      <c r="I68" s="158">
        <v>3.7000000000000002E-3</v>
      </c>
      <c r="J68" s="158" t="s">
        <v>87</v>
      </c>
      <c r="K68" s="158">
        <v>5.4999999999999997E-3</v>
      </c>
      <c r="L68" s="158">
        <v>6.8999999999999999E-3</v>
      </c>
      <c r="M68" s="158">
        <v>8.3000000000000001E-3</v>
      </c>
      <c r="N68" s="139" cm="1">
        <f t="array" aca="1" ref="N68:AE68" ca="1">IF(OR(B68="",NOT($J$2)),"",GetStripDefaultProbability(A68,B68,Parameter_Date,CDSRollDate,E68:M68,SpreadCurveMaturities,D68,C68,$J$4,$J$6))</f>
        <v>0</v>
      </c>
      <c r="O68" s="165">
        <f ca="1"/>
        <v>9.3277580402983951E-4</v>
      </c>
      <c r="P68" s="165">
        <f ca="1"/>
        <v>3.1911675109487225E-3</v>
      </c>
      <c r="Q68" s="165">
        <f ca="1"/>
        <v>8.6527384925119133E-3</v>
      </c>
      <c r="R68" s="165">
        <f ca="1"/>
        <v>1.9175936827869666E-2</v>
      </c>
      <c r="S68" s="165">
        <f ca="1"/>
        <v>0</v>
      </c>
      <c r="T68" s="165">
        <f ca="1"/>
        <v>4.7270911977248198E-2</v>
      </c>
      <c r="U68" s="165">
        <f ca="1"/>
        <v>8.2584955930649628E-2</v>
      </c>
      <c r="V68" s="140">
        <f ca="1"/>
        <v>0.13998640192065159</v>
      </c>
      <c r="W68" s="139">
        <f ca="1"/>
        <v>0</v>
      </c>
      <c r="X68" s="165">
        <f ca="1"/>
        <v>1.0260036394392769E-3</v>
      </c>
      <c r="Y68" s="165">
        <f ca="1"/>
        <v>3.3572884725582286E-3</v>
      </c>
      <c r="Z68" s="165">
        <f ca="1"/>
        <v>9.0657138089633715E-3</v>
      </c>
      <c r="AA68" s="165">
        <f ca="1"/>
        <v>2.0126617769397948E-2</v>
      </c>
      <c r="AB68" s="165">
        <f ca="1"/>
        <v>0</v>
      </c>
      <c r="AC68" s="165">
        <f ca="1"/>
        <v>4.9583794189706709E-2</v>
      </c>
      <c r="AD68" s="165">
        <f ca="1"/>
        <v>8.6569639430935208E-2</v>
      </c>
      <c r="AE68" s="140">
        <f ca="1"/>
        <v>0.14659050807218554</v>
      </c>
      <c r="AH68" s="137"/>
      <c r="AI68" s="137"/>
      <c r="AJ68" s="137"/>
      <c r="AK68" s="137"/>
      <c r="AM68" s="137"/>
      <c r="AN68" s="137"/>
      <c r="AO68" s="137"/>
      <c r="AQ68" s="137"/>
      <c r="AR68" s="137"/>
      <c r="AS68" s="137"/>
      <c r="AT68" s="137"/>
      <c r="AV68" s="137"/>
      <c r="AW68" s="137"/>
      <c r="AX68" s="137"/>
    </row>
    <row r="69" spans="1:50" s="79" customFormat="1" ht="10.199999999999999" x14ac:dyDescent="0.2">
      <c r="A69" s="97">
        <f t="shared" ca="1" si="2"/>
        <v>58</v>
      </c>
      <c r="B69" s="68" t="s">
        <v>146</v>
      </c>
      <c r="C69" s="98">
        <v>0.4</v>
      </c>
      <c r="D69" s="69" t="s">
        <v>66</v>
      </c>
      <c r="E69" s="138" t="s">
        <v>87</v>
      </c>
      <c r="F69" s="158">
        <v>1.6999999999999999E-3</v>
      </c>
      <c r="G69" s="158">
        <v>2.0999999999999999E-3</v>
      </c>
      <c r="H69" s="158">
        <v>2.8999999999999998E-3</v>
      </c>
      <c r="I69" s="158">
        <v>4.4000000000000003E-3</v>
      </c>
      <c r="J69" s="158" t="s">
        <v>87</v>
      </c>
      <c r="K69" s="158">
        <v>6.0000000000000001E-3</v>
      </c>
      <c r="L69" s="158">
        <v>7.4999999999999997E-3</v>
      </c>
      <c r="M69" s="158">
        <v>9.1999999999999998E-3</v>
      </c>
      <c r="N69" s="139" cm="1">
        <f t="array" aca="1" ref="N69:AE69" ca="1">IF(OR(B69="",NOT($J$2)),"",GetStripDefaultProbability(A69,B69,Parameter_Date,CDSRollDate,E69:M69,SpreadCurveMaturities,D69,C69,$J$4,$J$6))</f>
        <v>0</v>
      </c>
      <c r="O69" s="165">
        <f ca="1"/>
        <v>1.5852023538636129E-3</v>
      </c>
      <c r="P69" s="165">
        <f ca="1"/>
        <v>3.7094478121537655E-3</v>
      </c>
      <c r="Q69" s="165">
        <f ca="1"/>
        <v>1.0017511005384283E-2</v>
      </c>
      <c r="R69" s="165">
        <f ca="1"/>
        <v>2.2777048913238174E-2</v>
      </c>
      <c r="S69" s="165">
        <f ca="1"/>
        <v>0</v>
      </c>
      <c r="T69" s="165">
        <f ca="1"/>
        <v>5.1274213136266678E-2</v>
      </c>
      <c r="U69" s="165">
        <f ca="1"/>
        <v>8.9280564497400072E-2</v>
      </c>
      <c r="V69" s="140">
        <f ca="1"/>
        <v>0.15447269700607535</v>
      </c>
      <c r="W69" s="139">
        <f ca="1"/>
        <v>0</v>
      </c>
      <c r="X69" s="165">
        <f ca="1"/>
        <v>1.6783657687193809E-3</v>
      </c>
      <c r="Y69" s="165">
        <f ca="1"/>
        <v>3.8837834039717745E-3</v>
      </c>
      <c r="Z69" s="165">
        <f ca="1"/>
        <v>1.0516033015369852E-2</v>
      </c>
      <c r="AA69" s="165">
        <f ca="1"/>
        <v>2.3905478323757112E-2</v>
      </c>
      <c r="AB69" s="165">
        <f ca="1"/>
        <v>0</v>
      </c>
      <c r="AC69" s="165">
        <f ca="1"/>
        <v>5.3777912020591567E-2</v>
      </c>
      <c r="AD69" s="165">
        <f ca="1"/>
        <v>9.357281553315111E-2</v>
      </c>
      <c r="AE69" s="140">
        <f ca="1"/>
        <v>0.16171710405126005</v>
      </c>
      <c r="AH69" s="137"/>
      <c r="AI69" s="137"/>
      <c r="AJ69" s="137"/>
      <c r="AK69" s="137"/>
      <c r="AM69" s="137"/>
      <c r="AN69" s="137"/>
      <c r="AO69" s="137"/>
      <c r="AQ69" s="137"/>
      <c r="AR69" s="137"/>
      <c r="AS69" s="137"/>
      <c r="AT69" s="137"/>
      <c r="AV69" s="137"/>
      <c r="AW69" s="137"/>
      <c r="AX69" s="137"/>
    </row>
    <row r="70" spans="1:50" s="79" customFormat="1" ht="10.199999999999999" x14ac:dyDescent="0.2">
      <c r="A70" s="97">
        <f t="shared" ca="1" si="2"/>
        <v>59</v>
      </c>
      <c r="B70" s="68" t="s">
        <v>147</v>
      </c>
      <c r="C70" s="98">
        <v>0.4</v>
      </c>
      <c r="D70" s="69" t="s">
        <v>66</v>
      </c>
      <c r="E70" s="138" t="s">
        <v>87</v>
      </c>
      <c r="F70" s="158">
        <v>4.0000000000000002E-4</v>
      </c>
      <c r="G70" s="158">
        <v>8.9999999999999998E-4</v>
      </c>
      <c r="H70" s="158">
        <v>1.5E-3</v>
      </c>
      <c r="I70" s="158">
        <v>2.2000000000000001E-3</v>
      </c>
      <c r="J70" s="158" t="s">
        <v>87</v>
      </c>
      <c r="K70" s="158">
        <v>3.5000000000000001E-3</v>
      </c>
      <c r="L70" s="158">
        <v>4.4999999999999997E-3</v>
      </c>
      <c r="M70" s="158">
        <v>5.5999999999999999E-3</v>
      </c>
      <c r="N70" s="139" cm="1">
        <f t="array" aca="1" ref="N70:AE70" ca="1">IF(OR(B70="",NOT($J$2)),"",GetStripDefaultProbability(A70,B70,Parameter_Date,CDSRollDate,E70:M70,SpreadCurveMaturities,D70,C70,$J$4,$J$6))</f>
        <v>0</v>
      </c>
      <c r="O70" s="165">
        <f ca="1"/>
        <v>3.7321455535799242E-4</v>
      </c>
      <c r="P70" s="165">
        <f ca="1"/>
        <v>1.5988606883324818E-3</v>
      </c>
      <c r="Q70" s="165">
        <f ca="1"/>
        <v>5.2148065811132849E-3</v>
      </c>
      <c r="R70" s="165">
        <f ca="1"/>
        <v>1.1446844445374693E-2</v>
      </c>
      <c r="S70" s="165">
        <f ca="1"/>
        <v>0</v>
      </c>
      <c r="T70" s="165">
        <f ca="1"/>
        <v>3.0367615362789646E-2</v>
      </c>
      <c r="U70" s="165">
        <f ca="1"/>
        <v>5.4648167127042568E-2</v>
      </c>
      <c r="V70" s="140">
        <f ca="1"/>
        <v>9.6806986884738877E-2</v>
      </c>
      <c r="W70" s="139">
        <f ca="1"/>
        <v>0</v>
      </c>
      <c r="X70" s="165">
        <f ca="1"/>
        <v>4.6649612398852458E-4</v>
      </c>
      <c r="Y70" s="165">
        <f ca="1"/>
        <v>1.7652470123107333E-3</v>
      </c>
      <c r="Z70" s="165">
        <f ca="1"/>
        <v>5.5463463858930195E-3</v>
      </c>
      <c r="AA70" s="165">
        <f ca="1"/>
        <v>1.1990399189656831E-2</v>
      </c>
      <c r="AB70" s="165">
        <f ca="1"/>
        <v>0</v>
      </c>
      <c r="AC70" s="165">
        <f ca="1"/>
        <v>3.1858350345182807E-2</v>
      </c>
      <c r="AD70" s="165">
        <f ca="1"/>
        <v>5.7312061837794692E-2</v>
      </c>
      <c r="AE70" s="140">
        <f ca="1"/>
        <v>0.10145996913408484</v>
      </c>
      <c r="AH70" s="137"/>
      <c r="AI70" s="137"/>
      <c r="AJ70" s="137"/>
      <c r="AK70" s="137"/>
      <c r="AM70" s="137"/>
      <c r="AN70" s="137"/>
      <c r="AO70" s="137"/>
      <c r="AQ70" s="137"/>
      <c r="AR70" s="137"/>
      <c r="AS70" s="137"/>
      <c r="AT70" s="137"/>
      <c r="AV70" s="137"/>
      <c r="AW70" s="137"/>
      <c r="AX70" s="137"/>
    </row>
    <row r="71" spans="1:50" s="79" customFormat="1" ht="10.199999999999999" x14ac:dyDescent="0.2">
      <c r="A71" s="97">
        <f t="shared" ca="1" si="2"/>
        <v>60</v>
      </c>
      <c r="B71" s="68" t="s">
        <v>148</v>
      </c>
      <c r="C71" s="98">
        <v>0.4</v>
      </c>
      <c r="D71" s="69" t="s">
        <v>66</v>
      </c>
      <c r="E71" s="138" t="s">
        <v>87</v>
      </c>
      <c r="F71" s="158">
        <v>1.15E-3</v>
      </c>
      <c r="G71" s="158">
        <v>1.4400000000000001E-3</v>
      </c>
      <c r="H71" s="158">
        <v>2.0100000000000001E-3</v>
      </c>
      <c r="I71" s="158">
        <v>2.3600000000000001E-3</v>
      </c>
      <c r="J71" s="158" t="s">
        <v>87</v>
      </c>
      <c r="K71" s="158">
        <v>3.0000000000000001E-3</v>
      </c>
      <c r="L71" s="158">
        <v>3.4299999999999999E-3</v>
      </c>
      <c r="M71" s="158">
        <v>3.8999999999999998E-3</v>
      </c>
      <c r="N71" s="139" cm="1">
        <f t="array" aca="1" ref="N71:AE71" ca="1">IF(OR(B71="",NOT($J$2)),"",GetStripDefaultProbability(A71,B71,Parameter_Date,CDSRollDate,E71:M71,SpreadCurveMaturities,D71,C71,$J$4,$J$6))</f>
        <v>0</v>
      </c>
      <c r="O71" s="165">
        <f ca="1"/>
        <v>1.0726172827926206E-3</v>
      </c>
      <c r="P71" s="165">
        <f ca="1"/>
        <v>2.5453224899570914E-3</v>
      </c>
      <c r="Q71" s="165">
        <f ca="1"/>
        <v>6.9537346259269661E-3</v>
      </c>
      <c r="R71" s="165">
        <f ca="1"/>
        <v>1.2160853955020423E-2</v>
      </c>
      <c r="S71" s="165">
        <f ca="1"/>
        <v>0</v>
      </c>
      <c r="T71" s="165">
        <f ca="1"/>
        <v>2.5695211648438354E-2</v>
      </c>
      <c r="U71" s="165">
        <f ca="1"/>
        <v>4.1047763278386329E-2</v>
      </c>
      <c r="V71" s="140">
        <f ca="1"/>
        <v>6.6545152583248557E-2</v>
      </c>
      <c r="W71" s="139">
        <f ca="1"/>
        <v>0</v>
      </c>
      <c r="X71" s="165">
        <f ca="1"/>
        <v>1.1658314747735599E-3</v>
      </c>
      <c r="Y71" s="165">
        <f ca="1"/>
        <v>2.7115510834365697E-3</v>
      </c>
      <c r="Z71" s="165">
        <f ca="1"/>
        <v>7.2863494087256342E-3</v>
      </c>
      <c r="AA71" s="165">
        <f ca="1"/>
        <v>1.2763643063036234E-2</v>
      </c>
      <c r="AB71" s="165">
        <f ca="1"/>
        <v>0</v>
      </c>
      <c r="AC71" s="165">
        <f ca="1"/>
        <v>2.6962341145327029E-2</v>
      </c>
      <c r="AD71" s="165">
        <f ca="1"/>
        <v>4.3059943906840425E-2</v>
      </c>
      <c r="AE71" s="140">
        <f ca="1"/>
        <v>6.9764965734960049E-2</v>
      </c>
      <c r="AH71" s="137"/>
      <c r="AI71" s="137"/>
      <c r="AJ71" s="137"/>
      <c r="AK71" s="137"/>
      <c r="AM71" s="137"/>
      <c r="AN71" s="137"/>
      <c r="AO71" s="137"/>
      <c r="AQ71" s="137"/>
      <c r="AR71" s="137"/>
      <c r="AS71" s="137"/>
      <c r="AT71" s="137"/>
      <c r="AV71" s="137"/>
      <c r="AW71" s="137"/>
      <c r="AX71" s="137"/>
    </row>
    <row r="72" spans="1:50" s="79" customFormat="1" ht="10.199999999999999" x14ac:dyDescent="0.2">
      <c r="A72" s="97">
        <f t="shared" ca="1" si="2"/>
        <v>61</v>
      </c>
      <c r="B72" s="68" t="s">
        <v>149</v>
      </c>
      <c r="C72" s="98">
        <v>0.4</v>
      </c>
      <c r="D72" s="69" t="s">
        <v>66</v>
      </c>
      <c r="E72" s="138" t="s">
        <v>87</v>
      </c>
      <c r="F72" s="158">
        <v>6.9999999999999999E-4</v>
      </c>
      <c r="G72" s="158">
        <v>1.1999999999999999E-3</v>
      </c>
      <c r="H72" s="158">
        <v>2.3999999999999998E-3</v>
      </c>
      <c r="I72" s="158">
        <v>3.2000000000000002E-3</v>
      </c>
      <c r="J72" s="158" t="s">
        <v>87</v>
      </c>
      <c r="K72" s="158">
        <v>4.7000000000000002E-3</v>
      </c>
      <c r="L72" s="158">
        <v>5.5999999999999999E-3</v>
      </c>
      <c r="M72" s="158">
        <v>7.1000000000000004E-3</v>
      </c>
      <c r="N72" s="139" cm="1">
        <f t="array" aca="1" ref="N72:AE72" ca="1">IF(OR(B72="",NOT($J$2)),"",GetStripDefaultProbability(A72,B72,Parameter_Date,CDSRollDate,E72:M72,SpreadCurveMaturities,D72,C72,$J$4,$J$6))</f>
        <v>0</v>
      </c>
      <c r="O72" s="165">
        <f ca="1"/>
        <v>6.5303425461338271E-4</v>
      </c>
      <c r="P72" s="165">
        <f ca="1"/>
        <v>2.1275283814861101E-3</v>
      </c>
      <c r="Q72" s="165">
        <f ca="1"/>
        <v>8.3480233956073624E-3</v>
      </c>
      <c r="R72" s="165">
        <f ca="1"/>
        <v>1.6586465874406042E-2</v>
      </c>
      <c r="S72" s="165">
        <f ca="1"/>
        <v>0</v>
      </c>
      <c r="T72" s="165">
        <f ca="1"/>
        <v>4.0459101765327077E-2</v>
      </c>
      <c r="U72" s="165">
        <f ca="1"/>
        <v>6.7046169046499848E-2</v>
      </c>
      <c r="V72" s="140">
        <f ca="1"/>
        <v>0.12123875037882204</v>
      </c>
      <c r="W72" s="139">
        <f ca="1"/>
        <v>0</v>
      </c>
      <c r="X72" s="165">
        <f ca="1"/>
        <v>7.4628912209839804E-4</v>
      </c>
      <c r="Y72" s="165">
        <f ca="1"/>
        <v>2.2938266015211095E-3</v>
      </c>
      <c r="Z72" s="165">
        <f ca="1"/>
        <v>8.7446048646560026E-3</v>
      </c>
      <c r="AA72" s="165">
        <f ca="1"/>
        <v>1.7407133494027782E-2</v>
      </c>
      <c r="AB72" s="165">
        <f ca="1"/>
        <v>0</v>
      </c>
      <c r="AC72" s="165">
        <f ca="1"/>
        <v>4.2442240413245513E-2</v>
      </c>
      <c r="AD72" s="165">
        <f ca="1"/>
        <v>7.0298730510552798E-2</v>
      </c>
      <c r="AE72" s="140">
        <f ca="1"/>
        <v>0.12700955972557759</v>
      </c>
      <c r="AH72" s="137"/>
      <c r="AI72" s="137"/>
      <c r="AJ72" s="137"/>
      <c r="AK72" s="137"/>
      <c r="AM72" s="137"/>
      <c r="AN72" s="137"/>
      <c r="AO72" s="137"/>
      <c r="AQ72" s="137"/>
      <c r="AR72" s="137"/>
      <c r="AS72" s="137"/>
      <c r="AT72" s="137"/>
      <c r="AV72" s="137"/>
      <c r="AW72" s="137"/>
      <c r="AX72" s="137"/>
    </row>
    <row r="73" spans="1:50" s="79" customFormat="1" ht="10.199999999999999" x14ac:dyDescent="0.2">
      <c r="A73" s="97">
        <f t="shared" ca="1" si="2"/>
        <v>62</v>
      </c>
      <c r="B73" s="68" t="s">
        <v>150</v>
      </c>
      <c r="C73" s="98">
        <v>0.4</v>
      </c>
      <c r="D73" s="69" t="s">
        <v>66</v>
      </c>
      <c r="E73" s="138" t="s">
        <v>87</v>
      </c>
      <c r="F73" s="158">
        <v>4.0000000000000002E-4</v>
      </c>
      <c r="G73" s="158">
        <v>5.9999999999999995E-4</v>
      </c>
      <c r="H73" s="158">
        <v>1.1000000000000001E-3</v>
      </c>
      <c r="I73" s="158">
        <v>1.4E-3</v>
      </c>
      <c r="J73" s="158" t="s">
        <v>87</v>
      </c>
      <c r="K73" s="158">
        <v>2.3999999999999998E-3</v>
      </c>
      <c r="L73" s="158">
        <v>3.2000000000000002E-3</v>
      </c>
      <c r="M73" s="158">
        <v>4.1000000000000003E-3</v>
      </c>
      <c r="N73" s="139" cm="1">
        <f t="array" aca="1" ref="N73:AE73" ca="1">IF(OR(B73="",NOT($J$2)),"",GetStripDefaultProbability(A73,B73,Parameter_Date,CDSRollDate,E73:M73,SpreadCurveMaturities,D73,C73,$J$4,$J$6))</f>
        <v>0</v>
      </c>
      <c r="O73" s="165">
        <f ca="1"/>
        <v>3.7321455535799242E-4</v>
      </c>
      <c r="P73" s="165">
        <f ca="1"/>
        <v>1.0630611822488589E-3</v>
      </c>
      <c r="Q73" s="165">
        <f ca="1"/>
        <v>3.8273671043834723E-3</v>
      </c>
      <c r="R73" s="165">
        <f ca="1"/>
        <v>7.2662306785012953E-3</v>
      </c>
      <c r="S73" s="165">
        <f ca="1"/>
        <v>0</v>
      </c>
      <c r="T73" s="165">
        <f ca="1"/>
        <v>2.0920109861846559E-2</v>
      </c>
      <c r="U73" s="165">
        <f ca="1"/>
        <v>3.9218430156084838E-2</v>
      </c>
      <c r="V73" s="140">
        <f ca="1"/>
        <v>7.1977434941885798E-2</v>
      </c>
      <c r="W73" s="139">
        <f ca="1"/>
        <v>0</v>
      </c>
      <c r="X73" s="165">
        <f ca="1"/>
        <v>4.6649612398852458E-4</v>
      </c>
      <c r="Y73" s="165">
        <f ca="1"/>
        <v>1.2295367987036343E-3</v>
      </c>
      <c r="Z73" s="165">
        <f ca="1"/>
        <v>4.1593693119061914E-3</v>
      </c>
      <c r="AA73" s="165">
        <f ca="1"/>
        <v>7.7624734921042382E-3</v>
      </c>
      <c r="AB73" s="165">
        <f ca="1"/>
        <v>0</v>
      </c>
      <c r="AC73" s="165">
        <f ca="1"/>
        <v>2.1933042134880121E-2</v>
      </c>
      <c r="AD73" s="165">
        <f ca="1"/>
        <v>4.1124813082648703E-2</v>
      </c>
      <c r="AE73" s="140">
        <f ca="1"/>
        <v>7.5440699059770355E-2</v>
      </c>
      <c r="AH73" s="137"/>
      <c r="AI73" s="137"/>
      <c r="AJ73" s="137"/>
      <c r="AK73" s="137"/>
      <c r="AM73" s="137"/>
      <c r="AN73" s="137"/>
      <c r="AO73" s="137"/>
      <c r="AQ73" s="137"/>
      <c r="AR73" s="137"/>
      <c r="AS73" s="137"/>
      <c r="AT73" s="137"/>
      <c r="AV73" s="137"/>
      <c r="AW73" s="137"/>
      <c r="AX73" s="137"/>
    </row>
    <row r="74" spans="1:50" s="79" customFormat="1" ht="10.199999999999999" x14ac:dyDescent="0.2">
      <c r="A74" s="97">
        <f t="shared" ca="1" si="2"/>
        <v>63</v>
      </c>
      <c r="B74" s="68" t="s">
        <v>151</v>
      </c>
      <c r="C74" s="98">
        <v>0.4</v>
      </c>
      <c r="D74" s="69" t="s">
        <v>66</v>
      </c>
      <c r="E74" s="138" t="s">
        <v>87</v>
      </c>
      <c r="F74" s="158">
        <v>5.9999999999999995E-4</v>
      </c>
      <c r="G74" s="158">
        <v>1.1000000000000001E-3</v>
      </c>
      <c r="H74" s="158">
        <v>2E-3</v>
      </c>
      <c r="I74" s="158">
        <v>2.5999999999999999E-3</v>
      </c>
      <c r="J74" s="158" t="s">
        <v>87</v>
      </c>
      <c r="K74" s="158">
        <v>3.3999999999999998E-3</v>
      </c>
      <c r="L74" s="158">
        <v>4.1000000000000003E-3</v>
      </c>
      <c r="M74" s="158">
        <v>4.8999999999999998E-3</v>
      </c>
      <c r="N74" s="139" cm="1">
        <f t="array" aca="1" ref="N74:AE74" ca="1">IF(OR(B74="",NOT($J$2)),"",GetStripDefaultProbability(A74,B74,Parameter_Date,CDSRollDate,E74:M74,SpreadCurveMaturities,D74,C74,$J$4,$J$6))</f>
        <v>0</v>
      </c>
      <c r="O74" s="165">
        <f ca="1"/>
        <v>5.5976970645477131E-4</v>
      </c>
      <c r="P74" s="165">
        <f ca="1"/>
        <v>1.9513369250531154E-3</v>
      </c>
      <c r="Q74" s="165">
        <f ca="1"/>
        <v>6.9533561304238045E-3</v>
      </c>
      <c r="R74" s="165">
        <f ca="1"/>
        <v>1.3474445215990283E-2</v>
      </c>
      <c r="S74" s="165">
        <f ca="1"/>
        <v>0</v>
      </c>
      <c r="T74" s="165">
        <f ca="1"/>
        <v>2.9210609742113536E-2</v>
      </c>
      <c r="U74" s="165">
        <f ca="1"/>
        <v>4.9300715110761728E-2</v>
      </c>
      <c r="V74" s="140">
        <f ca="1"/>
        <v>8.4063176675099882E-2</v>
      </c>
      <c r="W74" s="139">
        <f ca="1"/>
        <v>0</v>
      </c>
      <c r="X74" s="165">
        <f ca="1"/>
        <v>6.5303351059242676E-4</v>
      </c>
      <c r="Y74" s="165">
        <f ca="1"/>
        <v>2.1176645078776479E-3</v>
      </c>
      <c r="Z74" s="165">
        <f ca="1"/>
        <v>7.2843165152594036E-3</v>
      </c>
      <c r="AA74" s="165">
        <f ca="1"/>
        <v>1.4140740918002548E-2</v>
      </c>
      <c r="AB74" s="165">
        <f ca="1"/>
        <v>0</v>
      </c>
      <c r="AC74" s="165">
        <f ca="1"/>
        <v>3.0647783796317052E-2</v>
      </c>
      <c r="AD74" s="165">
        <f ca="1"/>
        <v>5.1709018418395591E-2</v>
      </c>
      <c r="AE74" s="140">
        <f ca="1"/>
        <v>8.8099792001671839E-2</v>
      </c>
      <c r="AH74" s="137"/>
      <c r="AI74" s="137"/>
      <c r="AJ74" s="137"/>
      <c r="AK74" s="137"/>
      <c r="AM74" s="137"/>
      <c r="AN74" s="137"/>
      <c r="AO74" s="137"/>
      <c r="AQ74" s="137"/>
      <c r="AR74" s="137"/>
      <c r="AS74" s="137"/>
      <c r="AT74" s="137"/>
      <c r="AV74" s="137"/>
      <c r="AW74" s="137"/>
      <c r="AX74" s="137"/>
    </row>
    <row r="75" spans="1:50" s="79" customFormat="1" ht="10.199999999999999" x14ac:dyDescent="0.2">
      <c r="A75" s="97">
        <f t="shared" ca="1" si="2"/>
        <v>64</v>
      </c>
      <c r="B75" s="68" t="s">
        <v>152</v>
      </c>
      <c r="C75" s="98">
        <v>0.4</v>
      </c>
      <c r="D75" s="69" t="s">
        <v>66</v>
      </c>
      <c r="E75" s="138" t="s">
        <v>87</v>
      </c>
      <c r="F75" s="158">
        <v>2.0000000000000001E-4</v>
      </c>
      <c r="G75" s="158">
        <v>2.9999999999999997E-4</v>
      </c>
      <c r="H75" s="158">
        <v>5.9999999999999995E-4</v>
      </c>
      <c r="I75" s="158">
        <v>8.9999999999999998E-4</v>
      </c>
      <c r="J75" s="158" t="s">
        <v>87</v>
      </c>
      <c r="K75" s="158">
        <v>1.2999999999999999E-3</v>
      </c>
      <c r="L75" s="158">
        <v>1.8E-3</v>
      </c>
      <c r="M75" s="158">
        <v>2.5000000000000001E-3</v>
      </c>
      <c r="N75" s="139" cm="1">
        <f t="array" aca="1" ref="N75:AE75" ca="1">IF(OR(B75="",NOT($J$2)),"",GetStripDefaultProbability(A75,B75,Parameter_Date,CDSRollDate,E75:M75,SpreadCurveMaturities,D75,C75,$J$4,$J$6))</f>
        <v>0</v>
      </c>
      <c r="O75" s="165">
        <f ca="1"/>
        <v>1.8662465644081472E-4</v>
      </c>
      <c r="P75" s="165">
        <f ca="1"/>
        <v>5.3164644967418351E-4</v>
      </c>
      <c r="Q75" s="165">
        <f ca="1"/>
        <v>2.0910443952583124E-3</v>
      </c>
      <c r="R75" s="165">
        <f ca="1"/>
        <v>4.6993295173533012E-3</v>
      </c>
      <c r="S75" s="165">
        <f ca="1"/>
        <v>0</v>
      </c>
      <c r="T75" s="165">
        <f ca="1"/>
        <v>1.1316873248300219E-2</v>
      </c>
      <c r="U75" s="165">
        <f ca="1"/>
        <v>2.219716759442425E-2</v>
      </c>
      <c r="V75" s="140">
        <f ca="1"/>
        <v>4.4730863779209207E-2</v>
      </c>
      <c r="W75" s="139">
        <f ca="1"/>
        <v>0</v>
      </c>
      <c r="X75" s="165">
        <f ca="1"/>
        <v>2.799238471393739E-4</v>
      </c>
      <c r="Y75" s="165">
        <f ca="1"/>
        <v>6.9821062786523669E-4</v>
      </c>
      <c r="Z75" s="165">
        <f ca="1"/>
        <v>2.4236252805479586E-3</v>
      </c>
      <c r="AA75" s="165">
        <f ca="1"/>
        <v>5.1968554607486617E-3</v>
      </c>
      <c r="AB75" s="165">
        <f ca="1"/>
        <v>0</v>
      </c>
      <c r="AC75" s="165">
        <f ca="1"/>
        <v>1.214043265653586E-2</v>
      </c>
      <c r="AD75" s="165">
        <f ca="1"/>
        <v>2.3361304687627427E-2</v>
      </c>
      <c r="AE75" s="140">
        <f ca="1"/>
        <v>4.6840256747974873E-2</v>
      </c>
      <c r="AH75" s="137"/>
      <c r="AI75" s="137"/>
      <c r="AJ75" s="137"/>
      <c r="AK75" s="137"/>
      <c r="AM75" s="137"/>
      <c r="AN75" s="137"/>
      <c r="AO75" s="137"/>
      <c r="AQ75" s="137"/>
      <c r="AR75" s="137"/>
      <c r="AS75" s="137"/>
      <c r="AT75" s="137"/>
      <c r="AV75" s="137"/>
      <c r="AW75" s="137"/>
      <c r="AX75" s="137"/>
    </row>
    <row r="76" spans="1:50" s="79" customFormat="1" ht="10.199999999999999" x14ac:dyDescent="0.2">
      <c r="A76" s="97">
        <f t="shared" ca="1" si="2"/>
        <v>65</v>
      </c>
      <c r="B76" s="68" t="s">
        <v>153</v>
      </c>
      <c r="C76" s="98">
        <v>0.4</v>
      </c>
      <c r="D76" s="69" t="s">
        <v>66</v>
      </c>
      <c r="E76" s="138" t="s">
        <v>87</v>
      </c>
      <c r="F76" s="158">
        <v>9.2000000000000003E-4</v>
      </c>
      <c r="G76" s="158">
        <v>1.39E-3</v>
      </c>
      <c r="H76" s="158">
        <v>2.0799999999999998E-3</v>
      </c>
      <c r="I76" s="158">
        <v>2.49E-3</v>
      </c>
      <c r="J76" s="158" t="s">
        <v>87</v>
      </c>
      <c r="K76" s="158">
        <v>3.0000000000000001E-3</v>
      </c>
      <c r="L76" s="158">
        <v>3.3500000000000001E-3</v>
      </c>
      <c r="M76" s="158">
        <v>3.7000000000000002E-3</v>
      </c>
      <c r="N76" s="139" cm="1">
        <f t="array" aca="1" ref="N76:AE76" ca="1">IF(OR(B76="",NOT($J$2)),"",GetStripDefaultProbability(A76,B76,Parameter_Date,CDSRollDate,E76:M76,SpreadCurveMaturities,D76,C76,$J$4,$J$6))</f>
        <v>0</v>
      </c>
      <c r="O76" s="165">
        <f ca="1"/>
        <v>8.5818569699469549E-4</v>
      </c>
      <c r="P76" s="165">
        <f ca="1"/>
        <v>2.4615021288583172E-3</v>
      </c>
      <c r="Q76" s="165">
        <f ca="1"/>
        <v>7.2080229332227574E-3</v>
      </c>
      <c r="R76" s="165">
        <f ca="1"/>
        <v>1.284942031797065E-2</v>
      </c>
      <c r="S76" s="165">
        <f ca="1"/>
        <v>0</v>
      </c>
      <c r="T76" s="165">
        <f ca="1"/>
        <v>2.5641044772076294E-2</v>
      </c>
      <c r="U76" s="165">
        <f ca="1"/>
        <v>3.9954628440886708E-2</v>
      </c>
      <c r="V76" s="140">
        <f ca="1"/>
        <v>6.2784284518967781E-2</v>
      </c>
      <c r="W76" s="139">
        <f ca="1"/>
        <v>0</v>
      </c>
      <c r="X76" s="165">
        <f ca="1"/>
        <v>9.5142077389065438E-4</v>
      </c>
      <c r="Y76" s="165">
        <f ca="1"/>
        <v>2.6277446912373881E-3</v>
      </c>
      <c r="Z76" s="165">
        <f ca="1"/>
        <v>7.5521311697354099E-3</v>
      </c>
      <c r="AA76" s="165">
        <f ca="1"/>
        <v>1.3485933365011138E-2</v>
      </c>
      <c r="AB76" s="165">
        <f ca="1"/>
        <v>0</v>
      </c>
      <c r="AC76" s="165">
        <f ca="1"/>
        <v>2.6904969105852827E-2</v>
      </c>
      <c r="AD76" s="165">
        <f ca="1"/>
        <v>4.1912950745016997E-2</v>
      </c>
      <c r="AE76" s="140">
        <f ca="1"/>
        <v>6.5825102282237591E-2</v>
      </c>
      <c r="AH76" s="137"/>
      <c r="AI76" s="137"/>
      <c r="AJ76" s="137"/>
      <c r="AK76" s="137"/>
      <c r="AM76" s="137"/>
      <c r="AN76" s="137"/>
      <c r="AO76" s="137"/>
      <c r="AQ76" s="137"/>
      <c r="AR76" s="137"/>
      <c r="AS76" s="137"/>
      <c r="AT76" s="137"/>
      <c r="AV76" s="137"/>
      <c r="AW76" s="137"/>
      <c r="AX76" s="137"/>
    </row>
    <row r="77" spans="1:50" s="79" customFormat="1" ht="10.199999999999999" x14ac:dyDescent="0.2">
      <c r="A77" s="97">
        <f t="shared" ca="1" si="2"/>
        <v>66</v>
      </c>
      <c r="B77" s="68" t="s">
        <v>154</v>
      </c>
      <c r="C77" s="98">
        <v>0.4</v>
      </c>
      <c r="D77" s="69" t="s">
        <v>66</v>
      </c>
      <c r="E77" s="138" t="s">
        <v>87</v>
      </c>
      <c r="F77" s="158">
        <v>2.3999999999999998E-3</v>
      </c>
      <c r="G77" s="158">
        <v>3.2000000000000002E-3</v>
      </c>
      <c r="H77" s="158">
        <v>4.8999999999999998E-3</v>
      </c>
      <c r="I77" s="158">
        <v>6.7000000000000002E-3</v>
      </c>
      <c r="J77" s="158" t="s">
        <v>87</v>
      </c>
      <c r="K77" s="158">
        <v>1.03E-2</v>
      </c>
      <c r="L77" s="158">
        <v>1.23E-2</v>
      </c>
      <c r="M77" s="158">
        <v>1.4200000000000001E-2</v>
      </c>
      <c r="N77" s="139" cm="1">
        <f t="array" aca="1" ref="N77:AE77" ca="1">IF(OR(B77="",NOT($J$2)),"",GetStripDefaultProbability(A77,B77,Parameter_Date,CDSRollDate,E77:M77,SpreadCurveMaturities,D77,C77,$J$4,$J$6))</f>
        <v>0</v>
      </c>
      <c r="O77" s="165">
        <f ca="1"/>
        <v>2.237204014953087E-3</v>
      </c>
      <c r="P77" s="165">
        <f ca="1"/>
        <v>5.6523146192013485E-3</v>
      </c>
      <c r="Q77" s="165">
        <f ca="1"/>
        <v>1.6914118307101655E-2</v>
      </c>
      <c r="R77" s="165">
        <f ca="1"/>
        <v>3.4448746376293249E-2</v>
      </c>
      <c r="S77" s="165">
        <f ca="1"/>
        <v>0</v>
      </c>
      <c r="T77" s="165">
        <f ca="1"/>
        <v>8.7261208930935474E-2</v>
      </c>
      <c r="U77" s="165">
        <f ca="1"/>
        <v>0.14301263849935086</v>
      </c>
      <c r="V77" s="140">
        <f ca="1"/>
        <v>0.22807699135989445</v>
      </c>
      <c r="W77" s="139">
        <f ca="1"/>
        <v>0</v>
      </c>
      <c r="X77" s="165">
        <f ca="1"/>
        <v>2.3489214696632565E-3</v>
      </c>
      <c r="Y77" s="165">
        <f ca="1"/>
        <v>5.9174386505350673E-3</v>
      </c>
      <c r="Z77" s="165">
        <f ca="1"/>
        <v>1.7753934332784271E-2</v>
      </c>
      <c r="AA77" s="165">
        <f ca="1"/>
        <v>3.6147113734848579E-2</v>
      </c>
      <c r="AB77" s="165">
        <f ca="1"/>
        <v>0</v>
      </c>
      <c r="AC77" s="165">
        <f ca="1"/>
        <v>9.1479486127497789E-2</v>
      </c>
      <c r="AD77" s="165">
        <f ca="1"/>
        <v>0.14974837576564926</v>
      </c>
      <c r="AE77" s="140">
        <f ca="1"/>
        <v>0.23834598941404084</v>
      </c>
      <c r="AH77" s="137"/>
      <c r="AI77" s="137"/>
      <c r="AJ77" s="137"/>
      <c r="AK77" s="137"/>
      <c r="AM77" s="137"/>
      <c r="AN77" s="137"/>
      <c r="AO77" s="137"/>
      <c r="AQ77" s="137"/>
      <c r="AR77" s="137"/>
      <c r="AS77" s="137"/>
      <c r="AT77" s="137"/>
      <c r="AV77" s="137"/>
      <c r="AW77" s="137"/>
      <c r="AX77" s="137"/>
    </row>
    <row r="78" spans="1:50" s="79" customFormat="1" ht="10.199999999999999" x14ac:dyDescent="0.2">
      <c r="A78" s="97">
        <f t="shared" ref="A78:A133" ca="1" si="3">IF(B78="","",A77+1)</f>
        <v>67</v>
      </c>
      <c r="B78" s="68" t="s">
        <v>155</v>
      </c>
      <c r="C78" s="98">
        <v>0.4</v>
      </c>
      <c r="D78" s="69" t="s">
        <v>66</v>
      </c>
      <c r="E78" s="138" t="s">
        <v>87</v>
      </c>
      <c r="F78" s="158">
        <v>5.9999999999999995E-4</v>
      </c>
      <c r="G78" s="158">
        <v>1.1000000000000001E-3</v>
      </c>
      <c r="H78" s="158">
        <v>2.0999999999999999E-3</v>
      </c>
      <c r="I78" s="158">
        <v>2.8E-3</v>
      </c>
      <c r="J78" s="158" t="s">
        <v>87</v>
      </c>
      <c r="K78" s="158">
        <v>4.0000000000000001E-3</v>
      </c>
      <c r="L78" s="158">
        <v>4.7999999999999996E-3</v>
      </c>
      <c r="M78" s="158">
        <v>6.1000000000000004E-3</v>
      </c>
      <c r="N78" s="139" cm="1">
        <f t="array" aca="1" ref="N78:AE78" ca="1">IF(OR(B78="",NOT($J$2)),"",GetStripDefaultProbability(A78,B78,Parameter_Date,CDSRollDate,E78:M78,SpreadCurveMaturities,D78,C78,$J$4,$J$6))</f>
        <v>0</v>
      </c>
      <c r="O78" s="165">
        <f ca="1"/>
        <v>5.5976970645477131E-4</v>
      </c>
      <c r="P78" s="165">
        <f ca="1"/>
        <v>1.9513369250531154E-3</v>
      </c>
      <c r="Q78" s="165">
        <f ca="1"/>
        <v>7.3043241163540662E-3</v>
      </c>
      <c r="R78" s="165">
        <f ca="1"/>
        <v>1.4521136419065717E-2</v>
      </c>
      <c r="S78" s="165">
        <f ca="1"/>
        <v>0</v>
      </c>
      <c r="T78" s="165">
        <f ca="1"/>
        <v>3.4461984381757849E-2</v>
      </c>
      <c r="U78" s="165">
        <f ca="1"/>
        <v>5.7669872578715142E-2</v>
      </c>
      <c r="V78" s="140">
        <f ca="1"/>
        <v>0.10485947270393559</v>
      </c>
      <c r="W78" s="139">
        <f ca="1"/>
        <v>0</v>
      </c>
      <c r="X78" s="165">
        <f ca="1"/>
        <v>6.5303351059242676E-4</v>
      </c>
      <c r="Y78" s="165">
        <f ca="1"/>
        <v>2.1176645078776479E-3</v>
      </c>
      <c r="Z78" s="165">
        <f ca="1"/>
        <v>7.6517068074009043E-3</v>
      </c>
      <c r="AA78" s="165">
        <f ca="1"/>
        <v>1.5239260928441856E-2</v>
      </c>
      <c r="AB78" s="165">
        <f ca="1"/>
        <v>0</v>
      </c>
      <c r="AC78" s="165">
        <f ca="1"/>
        <v>3.6154688135380586E-2</v>
      </c>
      <c r="AD78" s="165">
        <f ca="1"/>
        <v>6.0478237688078029E-2</v>
      </c>
      <c r="AE78" s="140">
        <f ca="1"/>
        <v>0.10988451844287883</v>
      </c>
      <c r="AH78" s="137"/>
      <c r="AI78" s="137"/>
      <c r="AJ78" s="137"/>
      <c r="AK78" s="137"/>
      <c r="AM78" s="137"/>
      <c r="AN78" s="137"/>
      <c r="AO78" s="137"/>
      <c r="AQ78" s="137"/>
      <c r="AR78" s="137"/>
      <c r="AS78" s="137"/>
      <c r="AT78" s="137"/>
      <c r="AV78" s="137"/>
      <c r="AW78" s="137"/>
      <c r="AX78" s="137"/>
    </row>
    <row r="79" spans="1:50" s="79" customFormat="1" ht="10.199999999999999" x14ac:dyDescent="0.2">
      <c r="A79" s="97">
        <f t="shared" ca="1" si="3"/>
        <v>68</v>
      </c>
      <c r="B79" s="68" t="s">
        <v>156</v>
      </c>
      <c r="C79" s="98">
        <v>0.4</v>
      </c>
      <c r="D79" s="69" t="s">
        <v>66</v>
      </c>
      <c r="E79" s="138" t="s">
        <v>87</v>
      </c>
      <c r="F79" s="158">
        <v>1E-3</v>
      </c>
      <c r="G79" s="158">
        <v>1.4E-3</v>
      </c>
      <c r="H79" s="158">
        <v>2.2000000000000001E-3</v>
      </c>
      <c r="I79" s="158">
        <v>3.3E-3</v>
      </c>
      <c r="J79" s="158" t="s">
        <v>87</v>
      </c>
      <c r="K79" s="158">
        <v>5.1000000000000004E-3</v>
      </c>
      <c r="L79" s="158">
        <v>6.3E-3</v>
      </c>
      <c r="M79" s="158">
        <v>7.6E-3</v>
      </c>
      <c r="N79" s="139" cm="1">
        <f t="array" aca="1" ref="N79:AE79" ca="1">IF(OR(B79="",NOT($J$2)),"",GetStripDefaultProbability(A79,B79,Parameter_Date,CDSRollDate,E79:M79,SpreadCurveMaturities,D79,C79,$J$4,$J$6))</f>
        <v>0</v>
      </c>
      <c r="O79" s="165">
        <f ca="1"/>
        <v>9.3277580402983951E-4</v>
      </c>
      <c r="P79" s="165">
        <f ca="1"/>
        <v>2.4774694480839132E-3</v>
      </c>
      <c r="Q79" s="165">
        <f ca="1"/>
        <v>7.626448886119519E-3</v>
      </c>
      <c r="R79" s="165">
        <f ca="1"/>
        <v>1.7131512309125352E-2</v>
      </c>
      <c r="S79" s="165">
        <f ca="1"/>
        <v>0</v>
      </c>
      <c r="T79" s="165">
        <f ca="1"/>
        <v>4.3980265283134923E-2</v>
      </c>
      <c r="U79" s="165">
        <f ca="1"/>
        <v>7.5586692856481674E-2</v>
      </c>
      <c r="V79" s="140">
        <f ca="1"/>
        <v>0.12880784880471974</v>
      </c>
      <c r="W79" s="139">
        <f ca="1"/>
        <v>0</v>
      </c>
      <c r="X79" s="165">
        <f ca="1"/>
        <v>1.0260036394392769E-3</v>
      </c>
      <c r="Y79" s="165">
        <f ca="1"/>
        <v>2.6437093494562358E-3</v>
      </c>
      <c r="Z79" s="165">
        <f ca="1"/>
        <v>7.9902524867944136E-3</v>
      </c>
      <c r="AA79" s="165">
        <f ca="1"/>
        <v>1.7980093281772302E-2</v>
      </c>
      <c r="AB79" s="165">
        <f ca="1"/>
        <v>0</v>
      </c>
      <c r="AC79" s="165">
        <f ca="1"/>
        <v>4.6134410614527388E-2</v>
      </c>
      <c r="AD79" s="165">
        <f ca="1"/>
        <v>7.9244022148684423E-2</v>
      </c>
      <c r="AE79" s="140">
        <f ca="1"/>
        <v>0.13491348526596325</v>
      </c>
      <c r="AH79" s="137"/>
      <c r="AI79" s="137"/>
      <c r="AJ79" s="137"/>
      <c r="AK79" s="137"/>
      <c r="AM79" s="137"/>
      <c r="AN79" s="137"/>
      <c r="AO79" s="137"/>
      <c r="AQ79" s="137"/>
      <c r="AR79" s="137"/>
      <c r="AS79" s="137"/>
      <c r="AT79" s="137"/>
      <c r="AV79" s="137"/>
      <c r="AW79" s="137"/>
      <c r="AX79" s="137"/>
    </row>
    <row r="80" spans="1:50" s="79" customFormat="1" ht="10.199999999999999" x14ac:dyDescent="0.2">
      <c r="A80" s="97">
        <f t="shared" ca="1" si="3"/>
        <v>69</v>
      </c>
      <c r="B80" s="68" t="s">
        <v>157</v>
      </c>
      <c r="C80" s="98">
        <v>0.4</v>
      </c>
      <c r="D80" s="69" t="s">
        <v>66</v>
      </c>
      <c r="E80" s="138" t="s">
        <v>87</v>
      </c>
      <c r="F80" s="158">
        <v>5.0000000000000001E-4</v>
      </c>
      <c r="G80" s="158">
        <v>5.0000000000000001E-4</v>
      </c>
      <c r="H80" s="158">
        <v>1E-3</v>
      </c>
      <c r="I80" s="158">
        <v>1.8E-3</v>
      </c>
      <c r="J80" s="158" t="s">
        <v>87</v>
      </c>
      <c r="K80" s="158">
        <v>2.7000000000000001E-3</v>
      </c>
      <c r="L80" s="158">
        <v>3.5000000000000001E-3</v>
      </c>
      <c r="M80" s="158">
        <v>4.4999999999999997E-3</v>
      </c>
      <c r="N80" s="139" cm="1">
        <f t="array" aca="1" ref="N80:AE80" ca="1">IF(OR(B80="",NOT($J$2)),"",GetStripDefaultProbability(A80,B80,Parameter_Date,CDSRollDate,E80:M80,SpreadCurveMaturities,D80,C80,$J$4,$J$6))</f>
        <v>0</v>
      </c>
      <c r="O80" s="165">
        <f ca="1"/>
        <v>4.6649647376628689E-4</v>
      </c>
      <c r="P80" s="165">
        <f ca="1"/>
        <v>8.8215636935595754E-4</v>
      </c>
      <c r="Q80" s="165">
        <f ca="1"/>
        <v>3.4794943157031577E-3</v>
      </c>
      <c r="R80" s="165">
        <f ca="1"/>
        <v>9.4205260061513973E-3</v>
      </c>
      <c r="S80" s="165">
        <f ca="1"/>
        <v>0</v>
      </c>
      <c r="T80" s="165">
        <f ca="1"/>
        <v>2.3476622602629393E-2</v>
      </c>
      <c r="U80" s="165">
        <f ca="1"/>
        <v>4.2708691067970594E-2</v>
      </c>
      <c r="V80" s="140">
        <f ca="1"/>
        <v>7.870540207446608E-2</v>
      </c>
      <c r="W80" s="139">
        <f ca="1"/>
        <v>0</v>
      </c>
      <c r="X80" s="165">
        <f ca="1"/>
        <v>5.5976917815403482E-4</v>
      </c>
      <c r="Y80" s="165">
        <f ca="1"/>
        <v>1.0486621340873858E-3</v>
      </c>
      <c r="Z80" s="165">
        <f ca="1"/>
        <v>3.8116124614929747E-3</v>
      </c>
      <c r="AA80" s="165">
        <f ca="1"/>
        <v>9.9156919413300182E-3</v>
      </c>
      <c r="AB80" s="165">
        <f ca="1"/>
        <v>0</v>
      </c>
      <c r="AC80" s="165">
        <f ca="1"/>
        <v>2.4621604309225886E-2</v>
      </c>
      <c r="AD80" s="165">
        <f ca="1"/>
        <v>4.4789932431908541E-2</v>
      </c>
      <c r="AE80" s="140">
        <f ca="1"/>
        <v>8.2488475897131819E-2</v>
      </c>
      <c r="AH80" s="137"/>
      <c r="AI80" s="137"/>
      <c r="AJ80" s="137"/>
      <c r="AK80" s="137"/>
      <c r="AM80" s="137"/>
      <c r="AN80" s="137"/>
      <c r="AO80" s="137"/>
      <c r="AQ80" s="137"/>
      <c r="AR80" s="137"/>
      <c r="AS80" s="137"/>
      <c r="AT80" s="137"/>
      <c r="AV80" s="137"/>
      <c r="AW80" s="137"/>
      <c r="AX80" s="137"/>
    </row>
    <row r="81" spans="1:50" s="79" customFormat="1" ht="10.199999999999999" x14ac:dyDescent="0.2">
      <c r="A81" s="97">
        <f t="shared" ca="1" si="3"/>
        <v>70</v>
      </c>
      <c r="B81" s="68" t="s">
        <v>158</v>
      </c>
      <c r="C81" s="98">
        <v>0.4</v>
      </c>
      <c r="D81" s="69" t="s">
        <v>66</v>
      </c>
      <c r="E81" s="138" t="s">
        <v>87</v>
      </c>
      <c r="F81" s="158">
        <v>1E-3</v>
      </c>
      <c r="G81" s="158">
        <v>1E-3</v>
      </c>
      <c r="H81" s="158">
        <v>1.8E-3</v>
      </c>
      <c r="I81" s="158">
        <v>2.8999999999999998E-3</v>
      </c>
      <c r="J81" s="158" t="s">
        <v>87</v>
      </c>
      <c r="K81" s="158">
        <v>4.3E-3</v>
      </c>
      <c r="L81" s="158">
        <v>5.4000000000000003E-3</v>
      </c>
      <c r="M81" s="158">
        <v>6.8999999999999999E-3</v>
      </c>
      <c r="N81" s="139" cm="1">
        <f t="array" aca="1" ref="N81:AE81" ca="1">IF(OR(B81="",NOT($J$2)),"",GetStripDefaultProbability(A81,B81,Parameter_Date,CDSRollDate,E81:M81,SpreadCurveMaturities,D81,C81,$J$4,$J$6))</f>
        <v>0</v>
      </c>
      <c r="O81" s="165">
        <f ca="1"/>
        <v>9.3277580402983951E-4</v>
      </c>
      <c r="P81" s="165">
        <f ca="1"/>
        <v>1.7635344592972224E-3</v>
      </c>
      <c r="Q81" s="165">
        <f ca="1"/>
        <v>6.2480339595947232E-3</v>
      </c>
      <c r="R81" s="165">
        <f ca="1"/>
        <v>1.5100698114045685E-2</v>
      </c>
      <c r="S81" s="165">
        <f ca="1"/>
        <v>0</v>
      </c>
      <c r="T81" s="165">
        <f ca="1"/>
        <v>3.7140752212506567E-2</v>
      </c>
      <c r="U81" s="165">
        <f ca="1"/>
        <v>6.511158579949472E-2</v>
      </c>
      <c r="V81" s="140">
        <f ca="1"/>
        <v>0.11851143780908124</v>
      </c>
      <c r="W81" s="139">
        <f ca="1"/>
        <v>0</v>
      </c>
      <c r="X81" s="165">
        <f ca="1"/>
        <v>1.0260036394392769E-3</v>
      </c>
      <c r="Y81" s="165">
        <f ca="1"/>
        <v>1.9298933399265472E-3</v>
      </c>
      <c r="Z81" s="165">
        <f ca="1"/>
        <v>6.5792294126308937E-3</v>
      </c>
      <c r="AA81" s="165">
        <f ca="1"/>
        <v>1.5846100109946804E-2</v>
      </c>
      <c r="AB81" s="165">
        <f ca="1"/>
        <v>0</v>
      </c>
      <c r="AC81" s="165">
        <f ca="1"/>
        <v>3.8962150575861831E-2</v>
      </c>
      <c r="AD81" s="165">
        <f ca="1"/>
        <v>6.8273447381369978E-2</v>
      </c>
      <c r="AE81" s="140">
        <f ca="1"/>
        <v>0.12416322878299102</v>
      </c>
      <c r="AH81" s="137"/>
      <c r="AI81" s="137"/>
      <c r="AJ81" s="137"/>
      <c r="AK81" s="137"/>
      <c r="AM81" s="137"/>
      <c r="AN81" s="137"/>
      <c r="AO81" s="137"/>
      <c r="AQ81" s="137"/>
      <c r="AR81" s="137"/>
      <c r="AS81" s="137"/>
      <c r="AT81" s="137"/>
      <c r="AV81" s="137"/>
      <c r="AW81" s="137"/>
      <c r="AX81" s="137"/>
    </row>
    <row r="82" spans="1:50" s="79" customFormat="1" ht="10.199999999999999" x14ac:dyDescent="0.2">
      <c r="A82" s="97">
        <f t="shared" ca="1" si="3"/>
        <v>71</v>
      </c>
      <c r="B82" s="68" t="s">
        <v>159</v>
      </c>
      <c r="C82" s="98">
        <v>0.4</v>
      </c>
      <c r="D82" s="69" t="s">
        <v>66</v>
      </c>
      <c r="E82" s="138" t="s">
        <v>87</v>
      </c>
      <c r="F82" s="158">
        <v>4.0000000000000002E-4</v>
      </c>
      <c r="G82" s="158">
        <v>8.9999999999999998E-4</v>
      </c>
      <c r="H82" s="158">
        <v>1.2999999999999999E-3</v>
      </c>
      <c r="I82" s="158">
        <v>1.8E-3</v>
      </c>
      <c r="J82" s="158" t="s">
        <v>87</v>
      </c>
      <c r="K82" s="158">
        <v>2.8E-3</v>
      </c>
      <c r="L82" s="158">
        <v>3.5000000000000001E-3</v>
      </c>
      <c r="M82" s="158">
        <v>4.3E-3</v>
      </c>
      <c r="N82" s="139" cm="1">
        <f t="array" aca="1" ref="N82:AE82" ca="1">IF(OR(B82="",NOT($J$2)),"",GetStripDefaultProbability(A82,B82,Parameter_Date,CDSRollDate,E82:M82,SpreadCurveMaturities,D82,C82,$J$4,$J$6))</f>
        <v>0</v>
      </c>
      <c r="O82" s="165">
        <f ca="1"/>
        <v>3.7321455535799242E-4</v>
      </c>
      <c r="P82" s="165">
        <f ca="1"/>
        <v>1.5988606883324818E-3</v>
      </c>
      <c r="Q82" s="165">
        <f ca="1"/>
        <v>4.5119891269029822E-3</v>
      </c>
      <c r="R82" s="165">
        <f ca="1"/>
        <v>9.3484213268871796E-3</v>
      </c>
      <c r="S82" s="165">
        <f ca="1"/>
        <v>0</v>
      </c>
      <c r="T82" s="165">
        <f ca="1"/>
        <v>2.4298736537842869E-2</v>
      </c>
      <c r="U82" s="165">
        <f ca="1"/>
        <v>4.254001202286295E-2</v>
      </c>
      <c r="V82" s="140">
        <f ca="1"/>
        <v>7.4693478633627297E-2</v>
      </c>
      <c r="W82" s="139">
        <f ca="1"/>
        <v>0</v>
      </c>
      <c r="X82" s="165">
        <f ca="1"/>
        <v>4.6649612398852458E-4</v>
      </c>
      <c r="Y82" s="165">
        <f ca="1"/>
        <v>1.7652470123107333E-3</v>
      </c>
      <c r="Z82" s="165">
        <f ca="1"/>
        <v>4.8437631651230273E-3</v>
      </c>
      <c r="AA82" s="165">
        <f ca="1"/>
        <v>9.8436233054074451E-3</v>
      </c>
      <c r="AB82" s="165">
        <f ca="1"/>
        <v>0</v>
      </c>
      <c r="AC82" s="165">
        <f ca="1"/>
        <v>2.5487317462852155E-2</v>
      </c>
      <c r="AD82" s="165">
        <f ca="1"/>
        <v>4.4616094252798999E-2</v>
      </c>
      <c r="AE82" s="140">
        <f ca="1"/>
        <v>7.8290611719740055E-2</v>
      </c>
      <c r="AH82" s="137"/>
      <c r="AI82" s="137"/>
      <c r="AJ82" s="137"/>
      <c r="AK82" s="137"/>
      <c r="AM82" s="137"/>
      <c r="AN82" s="137"/>
      <c r="AO82" s="137"/>
      <c r="AQ82" s="137"/>
      <c r="AR82" s="137"/>
      <c r="AS82" s="137"/>
      <c r="AT82" s="137"/>
      <c r="AV82" s="137"/>
      <c r="AW82" s="137"/>
      <c r="AX82" s="137"/>
    </row>
    <row r="83" spans="1:50" s="79" customFormat="1" ht="10.199999999999999" x14ac:dyDescent="0.2">
      <c r="A83" s="97">
        <f t="shared" ca="1" si="3"/>
        <v>72</v>
      </c>
      <c r="B83" s="68" t="s">
        <v>160</v>
      </c>
      <c r="C83" s="98">
        <v>0.4</v>
      </c>
      <c r="D83" s="69" t="s">
        <v>66</v>
      </c>
      <c r="E83" s="138" t="s">
        <v>87</v>
      </c>
      <c r="F83" s="158">
        <v>5.9999999999999995E-4</v>
      </c>
      <c r="G83" s="158">
        <v>1.2999999999999999E-3</v>
      </c>
      <c r="H83" s="158">
        <v>1.9E-3</v>
      </c>
      <c r="I83" s="158">
        <v>2.5000000000000001E-3</v>
      </c>
      <c r="J83" s="158" t="s">
        <v>87</v>
      </c>
      <c r="K83" s="158">
        <v>4.0000000000000001E-3</v>
      </c>
      <c r="L83" s="158">
        <v>5.1000000000000004E-3</v>
      </c>
      <c r="M83" s="158">
        <v>6.1999999999999998E-3</v>
      </c>
      <c r="N83" s="139" cm="1">
        <f t="array" aca="1" ref="N83:AE83" ca="1">IF(OR(B83="",NOT($J$2)),"",GetStripDefaultProbability(A83,B83,Parameter_Date,CDSRollDate,E83:M83,SpreadCurveMaturities,D83,C83,$J$4,$J$6))</f>
        <v>0</v>
      </c>
      <c r="O83" s="165">
        <f ca="1"/>
        <v>5.5976970645477131E-4</v>
      </c>
      <c r="P83" s="165">
        <f ca="1"/>
        <v>2.308370278587657E-3</v>
      </c>
      <c r="Q83" s="165">
        <f ca="1"/>
        <v>6.5896932603117797E-3</v>
      </c>
      <c r="R83" s="165">
        <f ca="1"/>
        <v>1.294644942425871E-2</v>
      </c>
      <c r="S83" s="165">
        <f ca="1"/>
        <v>0</v>
      </c>
      <c r="T83" s="165">
        <f ca="1"/>
        <v>3.4605609423967731E-2</v>
      </c>
      <c r="U83" s="165">
        <f ca="1"/>
        <v>6.1682073062506726E-2</v>
      </c>
      <c r="V83" s="140">
        <f ca="1"/>
        <v>0.10633240639684383</v>
      </c>
      <c r="W83" s="139">
        <f ca="1"/>
        <v>0</v>
      </c>
      <c r="X83" s="165">
        <f ca="1"/>
        <v>6.5303351059242676E-4</v>
      </c>
      <c r="Y83" s="165">
        <f ca="1"/>
        <v>2.4746383608136302E-3</v>
      </c>
      <c r="Z83" s="165">
        <f ca="1"/>
        <v>6.9207748458911533E-3</v>
      </c>
      <c r="AA83" s="165">
        <f ca="1"/>
        <v>1.3586380668015319E-2</v>
      </c>
      <c r="AB83" s="165">
        <f ca="1"/>
        <v>0</v>
      </c>
      <c r="AC83" s="165">
        <f ca="1"/>
        <v>3.6305469624628661E-2</v>
      </c>
      <c r="AD83" s="165">
        <f ca="1"/>
        <v>6.4683820991780494E-2</v>
      </c>
      <c r="AE83" s="140">
        <f ca="1"/>
        <v>0.11142304233254874</v>
      </c>
      <c r="AH83" s="137"/>
      <c r="AI83" s="137"/>
      <c r="AJ83" s="137"/>
      <c r="AK83" s="137"/>
      <c r="AM83" s="137"/>
      <c r="AN83" s="137"/>
      <c r="AO83" s="137"/>
      <c r="AQ83" s="137"/>
      <c r="AR83" s="137"/>
      <c r="AS83" s="137"/>
      <c r="AT83" s="137"/>
      <c r="AV83" s="137"/>
      <c r="AW83" s="137"/>
      <c r="AX83" s="137"/>
    </row>
    <row r="84" spans="1:50" s="79" customFormat="1" ht="10.199999999999999" x14ac:dyDescent="0.2">
      <c r="A84" s="97">
        <f t="shared" ca="1" si="3"/>
        <v>73</v>
      </c>
      <c r="B84" s="68" t="s">
        <v>161</v>
      </c>
      <c r="C84" s="98">
        <v>0.4</v>
      </c>
      <c r="D84" s="69" t="s">
        <v>66</v>
      </c>
      <c r="E84" s="138" t="s">
        <v>87</v>
      </c>
      <c r="F84" s="158">
        <v>2.9999999999999997E-4</v>
      </c>
      <c r="G84" s="158">
        <v>8.9999999999999998E-4</v>
      </c>
      <c r="H84" s="158">
        <v>1.5E-3</v>
      </c>
      <c r="I84" s="158">
        <v>2.2000000000000001E-3</v>
      </c>
      <c r="J84" s="158" t="s">
        <v>87</v>
      </c>
      <c r="K84" s="158">
        <v>3.0999999999999999E-3</v>
      </c>
      <c r="L84" s="158">
        <v>4.0000000000000001E-3</v>
      </c>
      <c r="M84" s="158">
        <v>5.1000000000000004E-3</v>
      </c>
      <c r="N84" s="139" cm="1">
        <f t="array" aca="1" ref="N84:AE84" ca="1">IF(OR(B84="",NOT($J$2)),"",GetStripDefaultProbability(A84,B84,Parameter_Date,CDSRollDate,E84:M84,SpreadCurveMaturities,D84,C84,$J$4,$J$6))</f>
        <v>0</v>
      </c>
      <c r="O84" s="165">
        <f ca="1"/>
        <v>2.799239499720052E-4</v>
      </c>
      <c r="P84" s="165">
        <f ca="1"/>
        <v>1.6011691455609656E-3</v>
      </c>
      <c r="Q84" s="165">
        <f ca="1"/>
        <v>5.2171601468354867E-3</v>
      </c>
      <c r="R84" s="165">
        <f ca="1"/>
        <v>1.1449248933199763E-2</v>
      </c>
      <c r="S84" s="165">
        <f ca="1"/>
        <v>0</v>
      </c>
      <c r="T84" s="165">
        <f ca="1"/>
        <v>2.6795115823520455E-2</v>
      </c>
      <c r="U84" s="165">
        <f ca="1"/>
        <v>4.855813797145625E-2</v>
      </c>
      <c r="V84" s="140">
        <f ca="1"/>
        <v>8.8624307224487331E-2</v>
      </c>
      <c r="W84" s="139">
        <f ca="1"/>
        <v>0</v>
      </c>
      <c r="X84" s="165">
        <f ca="1"/>
        <v>3.7321434723358582E-4</v>
      </c>
      <c r="Y84" s="165">
        <f ca="1"/>
        <v>1.7675550848285093E-3</v>
      </c>
      <c r="Z84" s="165">
        <f ca="1"/>
        <v>5.5486991672083485E-3</v>
      </c>
      <c r="AA84" s="165">
        <f ca="1"/>
        <v>1.1992802355400456E-2</v>
      </c>
      <c r="AB84" s="165">
        <f ca="1"/>
        <v>0</v>
      </c>
      <c r="AC84" s="165">
        <f ca="1"/>
        <v>2.8111249377139158E-2</v>
      </c>
      <c r="AD84" s="165">
        <f ca="1"/>
        <v>5.0929402359380482E-2</v>
      </c>
      <c r="AE84" s="140">
        <f ca="1"/>
        <v>9.2874219530725166E-2</v>
      </c>
      <c r="AH84" s="137"/>
      <c r="AI84" s="137"/>
      <c r="AJ84" s="137"/>
      <c r="AK84" s="137"/>
      <c r="AM84" s="137"/>
      <c r="AN84" s="137"/>
      <c r="AO84" s="137"/>
      <c r="AQ84" s="137"/>
      <c r="AR84" s="137"/>
      <c r="AS84" s="137"/>
      <c r="AT84" s="137"/>
      <c r="AV84" s="137"/>
      <c r="AW84" s="137"/>
      <c r="AX84" s="137"/>
    </row>
    <row r="85" spans="1:50" s="79" customFormat="1" ht="10.199999999999999" x14ac:dyDescent="0.2">
      <c r="A85" s="97">
        <f t="shared" ca="1" si="3"/>
        <v>74</v>
      </c>
      <c r="B85" s="68" t="s">
        <v>162</v>
      </c>
      <c r="C85" s="98">
        <v>0.4</v>
      </c>
      <c r="D85" s="69" t="s">
        <v>66</v>
      </c>
      <c r="E85" s="138" t="s">
        <v>87</v>
      </c>
      <c r="F85" s="158">
        <v>1E-3</v>
      </c>
      <c r="G85" s="158">
        <v>1.1000000000000001E-3</v>
      </c>
      <c r="H85" s="158">
        <v>1.9E-3</v>
      </c>
      <c r="I85" s="158">
        <v>2.5000000000000001E-3</v>
      </c>
      <c r="J85" s="158" t="s">
        <v>87</v>
      </c>
      <c r="K85" s="158">
        <v>4.0000000000000001E-3</v>
      </c>
      <c r="L85" s="158">
        <v>5.0000000000000001E-3</v>
      </c>
      <c r="M85" s="158">
        <v>5.5999999999999999E-3</v>
      </c>
      <c r="N85" s="139" cm="1">
        <f t="array" aca="1" ref="N85:AE85" ca="1">IF(OR(B85="",NOT($J$2)),"",GetStripDefaultProbability(A85,B85,Parameter_Date,CDSRollDate,E85:M85,SpreadCurveMaturities,D85,C85,$J$4,$J$6))</f>
        <v>0</v>
      </c>
      <c r="O85" s="165">
        <f ca="1"/>
        <v>9.3277580402983951E-4</v>
      </c>
      <c r="P85" s="165">
        <f ca="1"/>
        <v>1.9420404247694201E-3</v>
      </c>
      <c r="Q85" s="165">
        <f ca="1"/>
        <v>6.5927912295119517E-3</v>
      </c>
      <c r="R85" s="165">
        <f ca="1"/>
        <v>1.294959628358372E-2</v>
      </c>
      <c r="S85" s="165">
        <f ca="1"/>
        <v>0</v>
      </c>
      <c r="T85" s="165">
        <f ca="1"/>
        <v>3.4608904368972682E-2</v>
      </c>
      <c r="U85" s="165">
        <f ca="1"/>
        <v>6.0396708043390812E-2</v>
      </c>
      <c r="V85" s="140">
        <f ca="1"/>
        <v>9.5191434382593698E-2</v>
      </c>
      <c r="W85" s="139">
        <f ca="1"/>
        <v>0</v>
      </c>
      <c r="X85" s="165">
        <f ca="1"/>
        <v>1.0260036394392769E-3</v>
      </c>
      <c r="Y85" s="165">
        <f ca="1"/>
        <v>2.1083695568915317E-3</v>
      </c>
      <c r="Z85" s="165">
        <f ca="1"/>
        <v>6.9238717826048957E-3</v>
      </c>
      <c r="AA85" s="165">
        <f ca="1"/>
        <v>1.3589540681019252E-2</v>
      </c>
      <c r="AB85" s="165">
        <f ca="1"/>
        <v>0</v>
      </c>
      <c r="AC85" s="165">
        <f ca="1"/>
        <v>3.6308784661949756E-2</v>
      </c>
      <c r="AD85" s="165">
        <f ca="1"/>
        <v>6.333675930499616E-2</v>
      </c>
      <c r="AE85" s="140">
        <f ca="1"/>
        <v>9.9738021226345119E-2</v>
      </c>
      <c r="AH85" s="137"/>
      <c r="AI85" s="137"/>
      <c r="AJ85" s="137"/>
      <c r="AK85" s="137"/>
      <c r="AM85" s="137"/>
      <c r="AN85" s="137"/>
      <c r="AO85" s="137"/>
      <c r="AQ85" s="137"/>
      <c r="AR85" s="137"/>
      <c r="AS85" s="137"/>
      <c r="AT85" s="137"/>
      <c r="AV85" s="137"/>
      <c r="AW85" s="137"/>
      <c r="AX85" s="137"/>
    </row>
    <row r="86" spans="1:50" s="79" customFormat="1" ht="10.199999999999999" x14ac:dyDescent="0.2">
      <c r="A86" s="97">
        <f t="shared" ca="1" si="3"/>
        <v>75</v>
      </c>
      <c r="B86" s="68" t="s">
        <v>163</v>
      </c>
      <c r="C86" s="98">
        <v>0.4</v>
      </c>
      <c r="D86" s="69" t="s">
        <v>66</v>
      </c>
      <c r="E86" s="138" t="s">
        <v>87</v>
      </c>
      <c r="F86" s="158">
        <v>1.7600000000000001E-3</v>
      </c>
      <c r="G86" s="158">
        <v>2.0899999999999998E-3</v>
      </c>
      <c r="H86" s="158">
        <v>2.7299999999999998E-3</v>
      </c>
      <c r="I86" s="158">
        <v>3.0999999999999999E-3</v>
      </c>
      <c r="J86" s="158" t="s">
        <v>87</v>
      </c>
      <c r="K86" s="158">
        <v>3.7000000000000002E-3</v>
      </c>
      <c r="L86" s="158">
        <v>4.0499999999999998E-3</v>
      </c>
      <c r="M86" s="158">
        <v>4.4000000000000003E-3</v>
      </c>
      <c r="N86" s="139" cm="1">
        <f t="array" aca="1" ref="N86:AE86" ca="1">IF(OR(B86="",NOT($J$2)),"",GetStripDefaultProbability(A86,B86,Parameter_Date,CDSRollDate,E86:M86,SpreadCurveMaturities,D86,C86,$J$4,$J$6))</f>
        <v>0</v>
      </c>
      <c r="O86" s="165">
        <f ca="1"/>
        <v>1.6411048533364614E-3</v>
      </c>
      <c r="P86" s="165">
        <f ca="1"/>
        <v>3.6901761150126555E-3</v>
      </c>
      <c r="Q86" s="165">
        <f ca="1"/>
        <v>9.421333172799029E-3</v>
      </c>
      <c r="R86" s="165">
        <f ca="1"/>
        <v>1.5914217809857911E-2</v>
      </c>
      <c r="S86" s="165">
        <f ca="1"/>
        <v>0</v>
      </c>
      <c r="T86" s="165">
        <f ca="1"/>
        <v>3.1465044829780631E-2</v>
      </c>
      <c r="U86" s="165">
        <f ca="1"/>
        <v>4.7948518199086632E-2</v>
      </c>
      <c r="V86" s="140">
        <f ca="1"/>
        <v>7.3896337936903089E-2</v>
      </c>
      <c r="W86" s="139">
        <f ca="1"/>
        <v>0</v>
      </c>
      <c r="X86" s="165">
        <f ca="1"/>
        <v>1.7342626556779983E-3</v>
      </c>
      <c r="Y86" s="165">
        <f ca="1"/>
        <v>3.8636849658405525E-3</v>
      </c>
      <c r="Z86" s="165">
        <f ca="1"/>
        <v>9.8903451592593505E-3</v>
      </c>
      <c r="AA86" s="165">
        <f ca="1"/>
        <v>1.6704112514782654E-2</v>
      </c>
      <c r="AB86" s="165">
        <f ca="1"/>
        <v>0</v>
      </c>
      <c r="AC86" s="165">
        <f ca="1"/>
        <v>3.3014019760671198E-2</v>
      </c>
      <c r="AD86" s="165">
        <f ca="1"/>
        <v>5.0291288033972203E-2</v>
      </c>
      <c r="AE86" s="140">
        <f ca="1"/>
        <v>7.7454944625667044E-2</v>
      </c>
      <c r="AH86" s="137"/>
      <c r="AI86" s="137"/>
      <c r="AJ86" s="137"/>
      <c r="AK86" s="137"/>
      <c r="AM86" s="137"/>
      <c r="AN86" s="137"/>
      <c r="AO86" s="137"/>
      <c r="AQ86" s="137"/>
      <c r="AR86" s="137"/>
      <c r="AS86" s="137"/>
      <c r="AT86" s="137"/>
      <c r="AV86" s="137"/>
      <c r="AW86" s="137"/>
      <c r="AX86" s="137"/>
    </row>
    <row r="87" spans="1:50" s="79" customFormat="1" ht="10.199999999999999" x14ac:dyDescent="0.2">
      <c r="A87" s="97">
        <f t="shared" ca="1" si="3"/>
        <v>76</v>
      </c>
      <c r="B87" s="68" t="s">
        <v>164</v>
      </c>
      <c r="C87" s="98">
        <v>0.4</v>
      </c>
      <c r="D87" s="69" t="s">
        <v>66</v>
      </c>
      <c r="E87" s="138" t="s">
        <v>87</v>
      </c>
      <c r="F87" s="158">
        <v>1.16E-3</v>
      </c>
      <c r="G87" s="158">
        <v>1.5100000000000001E-3</v>
      </c>
      <c r="H87" s="158">
        <v>2.0300000000000001E-3</v>
      </c>
      <c r="I87" s="158">
        <v>2.3800000000000002E-3</v>
      </c>
      <c r="J87" s="158" t="s">
        <v>87</v>
      </c>
      <c r="K87" s="158">
        <v>2.8999999999999998E-3</v>
      </c>
      <c r="L87" s="158">
        <v>3.29E-3</v>
      </c>
      <c r="M87" s="158">
        <v>3.7000000000000002E-3</v>
      </c>
      <c r="N87" s="139" cm="1">
        <f t="array" aca="1" ref="N87:AE87" ca="1">IF(OR(B87="",NOT($J$2)),"",GetStripDefaultProbability(A87,B87,Parameter_Date,CDSRollDate,E87:M87,SpreadCurveMaturities,D87,C87,$J$4,$J$6))</f>
        <v>0</v>
      </c>
      <c r="O87" s="165">
        <f ca="1"/>
        <v>1.081939353757666E-3</v>
      </c>
      <c r="P87" s="165">
        <f ca="1"/>
        <v>2.6699882411213016E-3</v>
      </c>
      <c r="Q87" s="165">
        <f ca="1"/>
        <v>7.0192276783117569E-3</v>
      </c>
      <c r="R87" s="165">
        <f ca="1"/>
        <v>1.2259188736035265E-2</v>
      </c>
      <c r="S87" s="165">
        <f ca="1"/>
        <v>0</v>
      </c>
      <c r="T87" s="165">
        <f ca="1"/>
        <v>2.4785124737592645E-2</v>
      </c>
      <c r="U87" s="165">
        <f ca="1"/>
        <v>3.9305864025437787E-2</v>
      </c>
      <c r="V87" s="140">
        <f ca="1"/>
        <v>6.3021088175704398E-2</v>
      </c>
      <c r="W87" s="139">
        <f ca="1"/>
        <v>0</v>
      </c>
      <c r="X87" s="165">
        <f ca="1"/>
        <v>1.1751526331379436E-3</v>
      </c>
      <c r="Y87" s="165">
        <f ca="1"/>
        <v>2.8361960587085511E-3</v>
      </c>
      <c r="Z87" s="165">
        <f ca="1"/>
        <v>7.3551293463605116E-3</v>
      </c>
      <c r="AA87" s="165">
        <f ca="1"/>
        <v>1.2867066316254006E-2</v>
      </c>
      <c r="AB87" s="165">
        <f ca="1"/>
        <v>0</v>
      </c>
      <c r="AC87" s="165">
        <f ca="1"/>
        <v>2.6007873102947499E-2</v>
      </c>
      <c r="AD87" s="165">
        <f ca="1"/>
        <v>4.1233856802443181E-2</v>
      </c>
      <c r="AE87" s="140">
        <f ca="1"/>
        <v>6.6074849480311948E-2</v>
      </c>
      <c r="AH87" s="137"/>
      <c r="AI87" s="137"/>
      <c r="AJ87" s="137"/>
      <c r="AK87" s="137"/>
      <c r="AM87" s="137"/>
      <c r="AN87" s="137"/>
      <c r="AO87" s="137"/>
      <c r="AQ87" s="137"/>
      <c r="AR87" s="137"/>
      <c r="AS87" s="137"/>
      <c r="AT87" s="137"/>
      <c r="AV87" s="137"/>
      <c r="AW87" s="137"/>
      <c r="AX87" s="137"/>
    </row>
    <row r="88" spans="1:50" s="79" customFormat="1" ht="10.199999999999999" x14ac:dyDescent="0.2">
      <c r="A88" s="97">
        <f t="shared" ca="1" si="3"/>
        <v>77</v>
      </c>
      <c r="B88" s="68" t="s">
        <v>165</v>
      </c>
      <c r="C88" s="98">
        <v>0.4</v>
      </c>
      <c r="D88" s="69" t="s">
        <v>66</v>
      </c>
      <c r="E88" s="138" t="s">
        <v>87</v>
      </c>
      <c r="F88" s="158">
        <v>6.9999999999999999E-4</v>
      </c>
      <c r="G88" s="158">
        <v>1E-3</v>
      </c>
      <c r="H88" s="158">
        <v>1.6000000000000001E-3</v>
      </c>
      <c r="I88" s="158">
        <v>2.0999999999999999E-3</v>
      </c>
      <c r="J88" s="158" t="s">
        <v>87</v>
      </c>
      <c r="K88" s="158">
        <v>3.3E-3</v>
      </c>
      <c r="L88" s="158">
        <v>4.0000000000000001E-3</v>
      </c>
      <c r="M88" s="158">
        <v>4.7999999999999996E-3</v>
      </c>
      <c r="N88" s="139" cm="1">
        <f t="array" aca="1" ref="N88:AE88" ca="1">IF(OR(B88="",NOT($J$2)),"",GetStripDefaultProbability(A88,B88,Parameter_Date,CDSRollDate,E88:M88,SpreadCurveMaturities,D88,C88,$J$4,$J$6))</f>
        <v>0</v>
      </c>
      <c r="O88" s="165">
        <f ca="1"/>
        <v>6.5303425461338271E-4</v>
      </c>
      <c r="P88" s="165">
        <f ca="1"/>
        <v>1.7704818660270183E-3</v>
      </c>
      <c r="Q88" s="165">
        <f ca="1"/>
        <v>5.5527910195846131E-3</v>
      </c>
      <c r="R88" s="165">
        <f ca="1"/>
        <v>1.0884007599074597E-2</v>
      </c>
      <c r="S88" s="165">
        <f ca="1"/>
        <v>0</v>
      </c>
      <c r="T88" s="165">
        <f ca="1"/>
        <v>2.8589377470307209E-2</v>
      </c>
      <c r="U88" s="165">
        <f ca="1"/>
        <v>4.8374674695643938E-2</v>
      </c>
      <c r="V88" s="140">
        <f ca="1"/>
        <v>8.2706620624096727E-2</v>
      </c>
      <c r="W88" s="139">
        <f ca="1"/>
        <v>0</v>
      </c>
      <c r="X88" s="165">
        <f ca="1"/>
        <v>7.4628912209839804E-4</v>
      </c>
      <c r="Y88" s="165">
        <f ca="1"/>
        <v>1.9368395888541556E-3</v>
      </c>
      <c r="Z88" s="165">
        <f ca="1"/>
        <v>5.8842181816521899E-3</v>
      </c>
      <c r="AA88" s="165">
        <f ca="1"/>
        <v>1.1403157206393399E-2</v>
      </c>
      <c r="AB88" s="165">
        <f ca="1"/>
        <v>0</v>
      </c>
      <c r="AC88" s="165">
        <f ca="1"/>
        <v>2.9994609476110101E-2</v>
      </c>
      <c r="AD88" s="165">
        <f ca="1"/>
        <v>5.0738106764199542E-2</v>
      </c>
      <c r="AE88" s="140">
        <f ca="1"/>
        <v>8.6680880634228519E-2</v>
      </c>
      <c r="AH88" s="137"/>
      <c r="AI88" s="137"/>
      <c r="AJ88" s="137"/>
      <c r="AK88" s="137"/>
      <c r="AM88" s="137"/>
      <c r="AN88" s="137"/>
      <c r="AO88" s="137"/>
      <c r="AQ88" s="137"/>
      <c r="AR88" s="137"/>
      <c r="AS88" s="137"/>
      <c r="AT88" s="137"/>
      <c r="AV88" s="137"/>
      <c r="AW88" s="137"/>
      <c r="AX88" s="137"/>
    </row>
    <row r="89" spans="1:50" s="79" customFormat="1" ht="10.199999999999999" x14ac:dyDescent="0.2">
      <c r="A89" s="97">
        <f t="shared" ca="1" si="3"/>
        <v>78</v>
      </c>
      <c r="B89" s="68" t="s">
        <v>166</v>
      </c>
      <c r="C89" s="98">
        <v>0.4</v>
      </c>
      <c r="D89" s="69" t="s">
        <v>66</v>
      </c>
      <c r="E89" s="138" t="s">
        <v>87</v>
      </c>
      <c r="F89" s="158">
        <v>1.6999999999999999E-3</v>
      </c>
      <c r="G89" s="158">
        <v>1.8E-3</v>
      </c>
      <c r="H89" s="158">
        <v>2.7000000000000001E-3</v>
      </c>
      <c r="I89" s="158">
        <v>3.8999999999999998E-3</v>
      </c>
      <c r="J89" s="158" t="s">
        <v>87</v>
      </c>
      <c r="K89" s="158">
        <v>6.0000000000000001E-3</v>
      </c>
      <c r="L89" s="158">
        <v>7.1999999999999998E-3</v>
      </c>
      <c r="M89" s="158">
        <v>8.6999999999999994E-3</v>
      </c>
      <c r="N89" s="139" cm="1">
        <f t="array" aca="1" ref="N89:AE89" ca="1">IF(OR(B89="",NOT($J$2)),"",GetStripDefaultProbability(A89,B89,Parameter_Date,CDSRollDate,E89:M89,SpreadCurveMaturities,D89,C89,$J$4,$J$6))</f>
        <v>0</v>
      </c>
      <c r="O89" s="165">
        <f ca="1"/>
        <v>1.5852023538636129E-3</v>
      </c>
      <c r="P89" s="165">
        <f ca="1"/>
        <v>3.17450238133965E-3</v>
      </c>
      <c r="Q89" s="165">
        <f ca="1"/>
        <v>9.3365358034488422E-3</v>
      </c>
      <c r="R89" s="165">
        <f ca="1"/>
        <v>2.0183750753972829E-2</v>
      </c>
      <c r="S89" s="165">
        <f ca="1"/>
        <v>0</v>
      </c>
      <c r="T89" s="165">
        <f ca="1"/>
        <v>5.1548011714134367E-2</v>
      </c>
      <c r="U89" s="165">
        <f ca="1"/>
        <v>8.5746784695008849E-2</v>
      </c>
      <c r="V89" s="140">
        <f ca="1"/>
        <v>0.14613684636355517</v>
      </c>
      <c r="W89" s="139">
        <f ca="1"/>
        <v>0</v>
      </c>
      <c r="X89" s="165">
        <f ca="1"/>
        <v>1.6783657687193809E-3</v>
      </c>
      <c r="Y89" s="165">
        <f ca="1"/>
        <v>3.3406261202515442E-3</v>
      </c>
      <c r="Z89" s="165">
        <f ca="1"/>
        <v>9.8006701472930224E-3</v>
      </c>
      <c r="AA89" s="165">
        <f ca="1"/>
        <v>2.1183949844715388E-2</v>
      </c>
      <c r="AB89" s="165">
        <f ca="1"/>
        <v>0</v>
      </c>
      <c r="AC89" s="165">
        <f ca="1"/>
        <v>5.4065328073428232E-2</v>
      </c>
      <c r="AD89" s="165">
        <f ca="1"/>
        <v>8.9876205736392101E-2</v>
      </c>
      <c r="AE89" s="140">
        <f ca="1"/>
        <v>0.15300902552630491</v>
      </c>
      <c r="AH89" s="137"/>
      <c r="AI89" s="137"/>
      <c r="AJ89" s="137"/>
      <c r="AK89" s="137"/>
      <c r="AM89" s="137"/>
      <c r="AN89" s="137"/>
      <c r="AO89" s="137"/>
      <c r="AQ89" s="137"/>
      <c r="AR89" s="137"/>
      <c r="AS89" s="137"/>
      <c r="AT89" s="137"/>
      <c r="AV89" s="137"/>
      <c r="AW89" s="137"/>
      <c r="AX89" s="137"/>
    </row>
    <row r="90" spans="1:50" s="79" customFormat="1" ht="10.199999999999999" x14ac:dyDescent="0.2">
      <c r="A90" s="97">
        <f t="shared" ca="1" si="3"/>
        <v>79</v>
      </c>
      <c r="B90" s="68" t="s">
        <v>167</v>
      </c>
      <c r="C90" s="98">
        <v>0.4</v>
      </c>
      <c r="D90" s="69" t="s">
        <v>66</v>
      </c>
      <c r="E90" s="138" t="s">
        <v>87</v>
      </c>
      <c r="F90" s="158">
        <v>4.0000000000000002E-4</v>
      </c>
      <c r="G90" s="158">
        <v>6.9999999999999999E-4</v>
      </c>
      <c r="H90" s="158">
        <v>1.5E-3</v>
      </c>
      <c r="I90" s="158">
        <v>2.2000000000000001E-3</v>
      </c>
      <c r="J90" s="158" t="s">
        <v>87</v>
      </c>
      <c r="K90" s="158">
        <v>3.3999999999999998E-3</v>
      </c>
      <c r="L90" s="158">
        <v>4.1999999999999997E-3</v>
      </c>
      <c r="M90" s="158">
        <v>5.4999999999999997E-3</v>
      </c>
      <c r="N90" s="139" cm="1">
        <f t="array" aca="1" ref="N90:AE90" ca="1">IF(OR(B90="",NOT($J$2)),"",GetStripDefaultProbability(A90,B90,Parameter_Date,CDSRollDate,E90:M90,SpreadCurveMaturities,D90,C90,$J$4,$J$6))</f>
        <v>0</v>
      </c>
      <c r="O90" s="165">
        <f ca="1"/>
        <v>3.7321455535799242E-4</v>
      </c>
      <c r="P90" s="165">
        <f ca="1"/>
        <v>1.241675841888723E-3</v>
      </c>
      <c r="Q90" s="165">
        <f ca="1"/>
        <v>5.2272701912871034E-3</v>
      </c>
      <c r="R90" s="165">
        <f ca="1"/>
        <v>1.1459576963186668E-2</v>
      </c>
      <c r="S90" s="165">
        <f ca="1"/>
        <v>0</v>
      </c>
      <c r="T90" s="165">
        <f ca="1"/>
        <v>2.9487472704577744E-2</v>
      </c>
      <c r="U90" s="165">
        <f ca="1"/>
        <v>5.0875181963723204E-2</v>
      </c>
      <c r="V90" s="140">
        <f ca="1"/>
        <v>9.5573299368839626E-2</v>
      </c>
      <c r="W90" s="139">
        <f ca="1"/>
        <v>0</v>
      </c>
      <c r="X90" s="165">
        <f ca="1"/>
        <v>4.6649612398852458E-4</v>
      </c>
      <c r="Y90" s="165">
        <f ca="1"/>
        <v>1.4081216917138928E-3</v>
      </c>
      <c r="Z90" s="165">
        <f ca="1"/>
        <v>5.5588058422090247E-3</v>
      </c>
      <c r="AA90" s="165">
        <f ca="1"/>
        <v>1.2003124706541635E-2</v>
      </c>
      <c r="AB90" s="165">
        <f ca="1"/>
        <v>0</v>
      </c>
      <c r="AC90" s="165">
        <f ca="1"/>
        <v>3.0934694270286833E-2</v>
      </c>
      <c r="AD90" s="165">
        <f ca="1"/>
        <v>5.33570006618177E-2</v>
      </c>
      <c r="AE90" s="140">
        <f ca="1"/>
        <v>0.10017271313113441</v>
      </c>
      <c r="AH90" s="137"/>
      <c r="AI90" s="137"/>
      <c r="AJ90" s="137"/>
      <c r="AK90" s="137"/>
      <c r="AM90" s="137"/>
      <c r="AN90" s="137"/>
      <c r="AO90" s="137"/>
      <c r="AQ90" s="137"/>
      <c r="AR90" s="137"/>
      <c r="AS90" s="137"/>
      <c r="AT90" s="137"/>
      <c r="AV90" s="137"/>
      <c r="AW90" s="137"/>
      <c r="AX90" s="137"/>
    </row>
    <row r="91" spans="1:50" s="79" customFormat="1" ht="10.199999999999999" x14ac:dyDescent="0.2">
      <c r="A91" s="97">
        <f t="shared" ca="1" si="3"/>
        <v>80</v>
      </c>
      <c r="B91" s="68" t="s">
        <v>168</v>
      </c>
      <c r="C91" s="98">
        <v>0.4</v>
      </c>
      <c r="D91" s="69" t="s">
        <v>66</v>
      </c>
      <c r="E91" s="138" t="s">
        <v>87</v>
      </c>
      <c r="F91" s="158">
        <v>1.1000000000000001E-3</v>
      </c>
      <c r="G91" s="158">
        <v>1.1000000000000001E-3</v>
      </c>
      <c r="H91" s="158">
        <v>1.6000000000000001E-3</v>
      </c>
      <c r="I91" s="158">
        <v>2.3E-3</v>
      </c>
      <c r="J91" s="158" t="s">
        <v>87</v>
      </c>
      <c r="K91" s="158">
        <v>3.7000000000000002E-3</v>
      </c>
      <c r="L91" s="158">
        <v>4.3E-3</v>
      </c>
      <c r="M91" s="158">
        <v>5.4000000000000003E-3</v>
      </c>
      <c r="N91" s="139" cm="1">
        <f t="array" aca="1" ref="N91:AE91" ca="1">IF(OR(B91="",NOT($J$2)),"",GetStripDefaultProbability(A91,B91,Parameter_Date,CDSRollDate,E91:M91,SpreadCurveMaturities,D91,C91,$J$4,$J$6))</f>
        <v>0</v>
      </c>
      <c r="O91" s="165">
        <f ca="1"/>
        <v>1.0260056262103578E-3</v>
      </c>
      <c r="P91" s="165">
        <f ca="1"/>
        <v>1.9397167472096077E-3</v>
      </c>
      <c r="Q91" s="165">
        <f ca="1"/>
        <v>5.5370984242087973E-3</v>
      </c>
      <c r="R91" s="165">
        <f ca="1"/>
        <v>1.1933067671719533E-2</v>
      </c>
      <c r="S91" s="165">
        <f ca="1"/>
        <v>0</v>
      </c>
      <c r="T91" s="165">
        <f ca="1"/>
        <v>3.2064843107808438E-2</v>
      </c>
      <c r="U91" s="165">
        <f ca="1"/>
        <v>5.1780733939203127E-2</v>
      </c>
      <c r="V91" s="140">
        <f ca="1"/>
        <v>9.3093709173298622E-2</v>
      </c>
      <c r="W91" s="139">
        <f ca="1"/>
        <v>0</v>
      </c>
      <c r="X91" s="165">
        <f ca="1"/>
        <v>1.1192243755654419E-3</v>
      </c>
      <c r="Y91" s="165">
        <f ca="1"/>
        <v>2.106046266575512E-3</v>
      </c>
      <c r="Z91" s="165">
        <f ca="1"/>
        <v>5.8685308162597094E-3</v>
      </c>
      <c r="AA91" s="165">
        <f ca="1"/>
        <v>1.2520380954237909E-2</v>
      </c>
      <c r="AB91" s="165">
        <f ca="1"/>
        <v>0</v>
      </c>
      <c r="AC91" s="165">
        <f ca="1"/>
        <v>3.3638980266263552E-2</v>
      </c>
      <c r="AD91" s="165">
        <f ca="1"/>
        <v>5.4306231058690702E-2</v>
      </c>
      <c r="AE91" s="140">
        <f ca="1"/>
        <v>9.7571971566234872E-2</v>
      </c>
      <c r="AH91" s="137"/>
      <c r="AI91" s="137"/>
      <c r="AJ91" s="137"/>
      <c r="AK91" s="137"/>
      <c r="AM91" s="137"/>
      <c r="AN91" s="137"/>
      <c r="AO91" s="137"/>
      <c r="AQ91" s="137"/>
      <c r="AR91" s="137"/>
      <c r="AS91" s="137"/>
      <c r="AT91" s="137"/>
      <c r="AV91" s="137"/>
      <c r="AW91" s="137"/>
      <c r="AX91" s="137"/>
    </row>
    <row r="92" spans="1:50" s="79" customFormat="1" ht="10.199999999999999" x14ac:dyDescent="0.2">
      <c r="A92" s="97">
        <f t="shared" ca="1" si="3"/>
        <v>81</v>
      </c>
      <c r="B92" s="68" t="s">
        <v>169</v>
      </c>
      <c r="C92" s="98">
        <v>0.4</v>
      </c>
      <c r="D92" s="69" t="s">
        <v>66</v>
      </c>
      <c r="E92" s="138" t="s">
        <v>87</v>
      </c>
      <c r="F92" s="158">
        <v>5.9999999999999995E-4</v>
      </c>
      <c r="G92" s="158">
        <v>6.9999999999999999E-4</v>
      </c>
      <c r="H92" s="158">
        <v>1.1999999999999999E-3</v>
      </c>
      <c r="I92" s="158">
        <v>1.6999999999999999E-3</v>
      </c>
      <c r="J92" s="158" t="s">
        <v>87</v>
      </c>
      <c r="K92" s="158">
        <v>2.7000000000000001E-3</v>
      </c>
      <c r="L92" s="158">
        <v>3.5000000000000001E-3</v>
      </c>
      <c r="M92" s="158">
        <v>4.5999999999999999E-3</v>
      </c>
      <c r="N92" s="139" cm="1">
        <f t="array" aca="1" ref="N92:AE92" ca="1">IF(OR(B92="",NOT($J$2)),"",GetStripDefaultProbability(A92,B92,Parameter_Date,CDSRollDate,E92:M92,SpreadCurveMaturities,D92,C92,$J$4,$J$6))</f>
        <v>0</v>
      </c>
      <c r="O92" s="165">
        <f ca="1"/>
        <v>5.5976970645477131E-4</v>
      </c>
      <c r="P92" s="165">
        <f ca="1"/>
        <v>1.2370924096177793E-3</v>
      </c>
      <c r="Q92" s="165">
        <f ca="1"/>
        <v>4.168163598396335E-3</v>
      </c>
      <c r="R92" s="165">
        <f ca="1"/>
        <v>8.839429856550618E-3</v>
      </c>
      <c r="S92" s="165">
        <f ca="1"/>
        <v>0</v>
      </c>
      <c r="T92" s="165">
        <f ca="1"/>
        <v>2.3466647538472274E-2</v>
      </c>
      <c r="U92" s="165">
        <f ca="1"/>
        <v>4.2698392000553476E-2</v>
      </c>
      <c r="V92" s="140">
        <f ca="1"/>
        <v>8.0614655061535534E-2</v>
      </c>
      <c r="W92" s="139">
        <f ca="1"/>
        <v>0</v>
      </c>
      <c r="X92" s="165">
        <f ca="1"/>
        <v>6.5303351059242676E-4</v>
      </c>
      <c r="Y92" s="165">
        <f ca="1"/>
        <v>1.4035390232739475E-3</v>
      </c>
      <c r="Z92" s="165">
        <f ca="1"/>
        <v>4.5000522260189024E-3</v>
      </c>
      <c r="AA92" s="165">
        <f ca="1"/>
        <v>9.3348862671915889E-3</v>
      </c>
      <c r="AB92" s="165">
        <f ca="1"/>
        <v>0</v>
      </c>
      <c r="AC92" s="165">
        <f ca="1"/>
        <v>2.461144097178114E-2</v>
      </c>
      <c r="AD92" s="165">
        <f ca="1"/>
        <v>4.4779581687978021E-2</v>
      </c>
      <c r="AE92" s="140">
        <f ca="1"/>
        <v>8.4487502872128584E-2</v>
      </c>
      <c r="AH92" s="137"/>
      <c r="AI92" s="137"/>
      <c r="AJ92" s="137"/>
      <c r="AK92" s="137"/>
      <c r="AM92" s="137"/>
      <c r="AN92" s="137"/>
      <c r="AO92" s="137"/>
      <c r="AQ92" s="137"/>
      <c r="AR92" s="137"/>
      <c r="AS92" s="137"/>
      <c r="AT92" s="137"/>
      <c r="AV92" s="137"/>
      <c r="AW92" s="137"/>
      <c r="AX92" s="137"/>
    </row>
    <row r="93" spans="1:50" s="79" customFormat="1" ht="10.199999999999999" x14ac:dyDescent="0.2">
      <c r="A93" s="97">
        <f t="shared" ca="1" si="3"/>
        <v>82</v>
      </c>
      <c r="B93" s="68" t="s">
        <v>170</v>
      </c>
      <c r="C93" s="98">
        <v>0.4</v>
      </c>
      <c r="D93" s="69" t="s">
        <v>66</v>
      </c>
      <c r="E93" s="138" t="s">
        <v>87</v>
      </c>
      <c r="F93" s="158">
        <v>8.9999999999999998E-4</v>
      </c>
      <c r="G93" s="158">
        <v>2.3999999999999998E-3</v>
      </c>
      <c r="H93" s="158">
        <v>3.5000000000000001E-3</v>
      </c>
      <c r="I93" s="158">
        <v>4.4999999999999997E-3</v>
      </c>
      <c r="J93" s="158" t="s">
        <v>87</v>
      </c>
      <c r="K93" s="158">
        <v>6.7999999999999996E-3</v>
      </c>
      <c r="L93" s="158">
        <v>8.2000000000000007E-3</v>
      </c>
      <c r="M93" s="158">
        <v>9.9000000000000008E-3</v>
      </c>
      <c r="N93" s="139" cm="1">
        <f t="array" aca="1" ref="N93:AE93" ca="1">IF(OR(B93="",NOT($J$2)),"",GetStripDefaultProbability(A93,B93,Parameter_Date,CDSRollDate,E93:M93,SpreadCurveMaturities,D93,C93,$J$4,$J$6))</f>
        <v>0</v>
      </c>
      <c r="O93" s="165">
        <f ca="1"/>
        <v>8.3953730218899736E-4</v>
      </c>
      <c r="P93" s="165">
        <f ca="1"/>
        <v>4.2637014464156353E-3</v>
      </c>
      <c r="Q93" s="165">
        <f ca="1"/>
        <v>1.2117508860885806E-2</v>
      </c>
      <c r="R93" s="165">
        <f ca="1"/>
        <v>2.3198824845895416E-2</v>
      </c>
      <c r="S93" s="165">
        <f ca="1"/>
        <v>0</v>
      </c>
      <c r="T93" s="165">
        <f ca="1"/>
        <v>5.8162092105289331E-2</v>
      </c>
      <c r="U93" s="165">
        <f ca="1"/>
        <v>9.7149124313107627E-2</v>
      </c>
      <c r="V93" s="140">
        <f ca="1"/>
        <v>0.16489770468887488</v>
      </c>
      <c r="W93" s="139">
        <f ca="1"/>
        <v>0</v>
      </c>
      <c r="X93" s="165">
        <f ca="1"/>
        <v>9.3277418569359671E-4</v>
      </c>
      <c r="Y93" s="165">
        <f ca="1"/>
        <v>4.46282879272486E-3</v>
      </c>
      <c r="Z93" s="165">
        <f ca="1"/>
        <v>1.271921220593375E-2</v>
      </c>
      <c r="AA93" s="165">
        <f ca="1"/>
        <v>2.4346446679744282E-2</v>
      </c>
      <c r="AB93" s="165">
        <f ca="1"/>
        <v>0</v>
      </c>
      <c r="AC93" s="165">
        <f ca="1"/>
        <v>6.0992083586584922E-2</v>
      </c>
      <c r="AD93" s="165">
        <f ca="1"/>
        <v>0.1018014228794728</v>
      </c>
      <c r="AE93" s="140">
        <f ca="1"/>
        <v>0.17258454858729755</v>
      </c>
      <c r="AH93" s="137"/>
      <c r="AI93" s="137"/>
      <c r="AJ93" s="137"/>
      <c r="AK93" s="137"/>
      <c r="AM93" s="137"/>
      <c r="AN93" s="137"/>
      <c r="AO93" s="137"/>
      <c r="AQ93" s="137"/>
      <c r="AR93" s="137"/>
      <c r="AS93" s="137"/>
      <c r="AT93" s="137"/>
      <c r="AV93" s="137"/>
      <c r="AW93" s="137"/>
      <c r="AX93" s="137"/>
    </row>
    <row r="94" spans="1:50" s="79" customFormat="1" ht="10.199999999999999" x14ac:dyDescent="0.2">
      <c r="A94" s="97">
        <f t="shared" ca="1" si="3"/>
        <v>83</v>
      </c>
      <c r="B94" s="68" t="s">
        <v>171</v>
      </c>
      <c r="C94" s="98">
        <v>0.4</v>
      </c>
      <c r="D94" s="69" t="s">
        <v>66</v>
      </c>
      <c r="E94" s="138" t="s">
        <v>87</v>
      </c>
      <c r="F94" s="158">
        <v>6.9999999999999999E-4</v>
      </c>
      <c r="G94" s="158">
        <v>1E-3</v>
      </c>
      <c r="H94" s="158">
        <v>2E-3</v>
      </c>
      <c r="I94" s="158">
        <v>3.0999999999999999E-3</v>
      </c>
      <c r="J94" s="158" t="s">
        <v>87</v>
      </c>
      <c r="K94" s="158">
        <v>4.7999999999999996E-3</v>
      </c>
      <c r="L94" s="158">
        <v>5.8999999999999999E-3</v>
      </c>
      <c r="M94" s="158">
        <v>7.3000000000000001E-3</v>
      </c>
      <c r="N94" s="139" cm="1">
        <f t="array" aca="1" ref="N94:AE94" ca="1">IF(OR(B94="",NOT($J$2)),"",GetStripDefaultProbability(A94,B94,Parameter_Date,CDSRollDate,E94:M94,SpreadCurveMaturities,D94,C94,$J$4,$J$6))</f>
        <v>0</v>
      </c>
      <c r="O94" s="165">
        <f ca="1"/>
        <v>6.5303425461338271E-4</v>
      </c>
      <c r="P94" s="165">
        <f ca="1"/>
        <v>1.7704818660270183E-3</v>
      </c>
      <c r="Q94" s="165">
        <f ca="1"/>
        <v>6.957303808873383E-3</v>
      </c>
      <c r="R94" s="165">
        <f ca="1"/>
        <v>1.6137123836179712E-2</v>
      </c>
      <c r="S94" s="165">
        <f ca="1"/>
        <v>0</v>
      </c>
      <c r="T94" s="165">
        <f ca="1"/>
        <v>4.147381216341961E-2</v>
      </c>
      <c r="U94" s="165">
        <f ca="1"/>
        <v>7.09231883328999E-2</v>
      </c>
      <c r="V94" s="140">
        <f ca="1"/>
        <v>0.12443749743441235</v>
      </c>
      <c r="W94" s="139">
        <f ca="1"/>
        <v>0</v>
      </c>
      <c r="X94" s="165">
        <f ca="1"/>
        <v>7.4628912209839804E-4</v>
      </c>
      <c r="Y94" s="165">
        <f ca="1"/>
        <v>1.9368395888541556E-3</v>
      </c>
      <c r="Z94" s="165">
        <f ca="1"/>
        <v>7.2882628780185366E-3</v>
      </c>
      <c r="AA94" s="165">
        <f ca="1"/>
        <v>1.6935070938273511E-2</v>
      </c>
      <c r="AB94" s="165">
        <f ca="1"/>
        <v>0</v>
      </c>
      <c r="AC94" s="165">
        <f ca="1"/>
        <v>4.3505949217969686E-2</v>
      </c>
      <c r="AD94" s="165">
        <f ca="1"/>
        <v>7.4360266202502245E-2</v>
      </c>
      <c r="AE94" s="140">
        <f ca="1"/>
        <v>0.13035118246522848</v>
      </c>
      <c r="AH94" s="137"/>
      <c r="AI94" s="137"/>
      <c r="AJ94" s="137"/>
      <c r="AK94" s="137"/>
      <c r="AM94" s="137"/>
      <c r="AN94" s="137"/>
      <c r="AO94" s="137"/>
      <c r="AQ94" s="137"/>
      <c r="AR94" s="137"/>
      <c r="AS94" s="137"/>
      <c r="AT94" s="137"/>
      <c r="AV94" s="137"/>
      <c r="AW94" s="137"/>
      <c r="AX94" s="137"/>
    </row>
    <row r="95" spans="1:50" s="79" customFormat="1" ht="10.199999999999999" x14ac:dyDescent="0.2">
      <c r="A95" s="97">
        <f t="shared" ca="1" si="3"/>
        <v>84</v>
      </c>
      <c r="B95" s="68" t="s">
        <v>172</v>
      </c>
      <c r="C95" s="98">
        <v>0.4</v>
      </c>
      <c r="D95" s="69" t="s">
        <v>66</v>
      </c>
      <c r="E95" s="138" t="s">
        <v>87</v>
      </c>
      <c r="F95" s="158">
        <v>5.0000000000000001E-4</v>
      </c>
      <c r="G95" s="158">
        <v>5.9999999999999995E-4</v>
      </c>
      <c r="H95" s="158">
        <v>1.4E-3</v>
      </c>
      <c r="I95" s="158">
        <v>1.9E-3</v>
      </c>
      <c r="J95" s="158" t="s">
        <v>87</v>
      </c>
      <c r="K95" s="158">
        <v>3.0000000000000001E-3</v>
      </c>
      <c r="L95" s="158">
        <v>3.8E-3</v>
      </c>
      <c r="M95" s="158">
        <v>5.0000000000000001E-3</v>
      </c>
      <c r="N95" s="139" cm="1">
        <f t="array" aca="1" ref="N95:AE95" ca="1">IF(OR(B95="",NOT($J$2)),"",GetStripDefaultProbability(A95,B95,Parameter_Date,CDSRollDate,E95:M95,SpreadCurveMaturities,D95,C95,$J$4,$J$6))</f>
        <v>0</v>
      </c>
      <c r="O95" s="165">
        <f ca="1"/>
        <v>4.6649647376628689E-4</v>
      </c>
      <c r="P95" s="165">
        <f ca="1"/>
        <v>1.0607776163944482E-3</v>
      </c>
      <c r="Q95" s="165">
        <f ca="1"/>
        <v>4.8797101861313141E-3</v>
      </c>
      <c r="R95" s="165">
        <f ca="1"/>
        <v>9.8815208690227196E-3</v>
      </c>
      <c r="S95" s="165">
        <f ca="1"/>
        <v>0</v>
      </c>
      <c r="T95" s="165">
        <f ca="1"/>
        <v>2.6050454950481305E-2</v>
      </c>
      <c r="U95" s="165">
        <f ca="1"/>
        <v>4.6210197532441155E-2</v>
      </c>
      <c r="V95" s="140">
        <f ca="1"/>
        <v>8.7309127370663209E-2</v>
      </c>
      <c r="W95" s="139">
        <f ca="1"/>
        <v>0</v>
      </c>
      <c r="X95" s="165">
        <f ca="1"/>
        <v>5.5976917815403482E-4</v>
      </c>
      <c r="Y95" s="165">
        <f ca="1"/>
        <v>1.2272536134083634E-3</v>
      </c>
      <c r="Z95" s="165">
        <f ca="1"/>
        <v>5.2113616710988131E-3</v>
      </c>
      <c r="AA95" s="165">
        <f ca="1"/>
        <v>1.0376456364415643E-2</v>
      </c>
      <c r="AB95" s="165">
        <f ca="1"/>
        <v>0</v>
      </c>
      <c r="AC95" s="165">
        <f ca="1"/>
        <v>2.7326709216619616E-2</v>
      </c>
      <c r="AD95" s="165">
        <f ca="1"/>
        <v>4.8465374686789908E-2</v>
      </c>
      <c r="AE95" s="140">
        <f ca="1"/>
        <v>9.1521977413886235E-2</v>
      </c>
      <c r="AH95" s="137"/>
      <c r="AI95" s="137"/>
      <c r="AJ95" s="137"/>
      <c r="AK95" s="137"/>
      <c r="AM95" s="137"/>
      <c r="AN95" s="137"/>
      <c r="AO95" s="137"/>
      <c r="AQ95" s="137"/>
      <c r="AR95" s="137"/>
      <c r="AS95" s="137"/>
      <c r="AT95" s="137"/>
      <c r="AV95" s="137"/>
      <c r="AW95" s="137"/>
      <c r="AX95" s="137"/>
    </row>
    <row r="96" spans="1:50" s="79" customFormat="1" ht="10.199999999999999" x14ac:dyDescent="0.2">
      <c r="A96" s="97">
        <f t="shared" ca="1" si="3"/>
        <v>85</v>
      </c>
      <c r="B96" s="68" t="s">
        <v>173</v>
      </c>
      <c r="C96" s="98">
        <v>0.4</v>
      </c>
      <c r="D96" s="69" t="s">
        <v>66</v>
      </c>
      <c r="E96" s="138" t="s">
        <v>87</v>
      </c>
      <c r="F96" s="158">
        <v>8.9999999999999998E-4</v>
      </c>
      <c r="G96" s="158">
        <v>8.9999999999999998E-4</v>
      </c>
      <c r="H96" s="158">
        <v>1.8E-3</v>
      </c>
      <c r="I96" s="158">
        <v>2.3E-3</v>
      </c>
      <c r="J96" s="158" t="s">
        <v>87</v>
      </c>
      <c r="K96" s="158">
        <v>3.7000000000000002E-3</v>
      </c>
      <c r="L96" s="158">
        <v>4.3E-3</v>
      </c>
      <c r="M96" s="158">
        <v>5.3E-3</v>
      </c>
      <c r="N96" s="139" cm="1">
        <f t="array" aca="1" ref="N96:AE96" ca="1">IF(OR(B96="",NOT($J$2)),"",GetStripDefaultProbability(A96,B96,Parameter_Date,CDSRollDate,E96:M96,SpreadCurveMaturities,D96,C96,$J$4,$J$6))</f>
        <v>0</v>
      </c>
      <c r="O96" s="165">
        <f ca="1"/>
        <v>8.3953730218899736E-4</v>
      </c>
      <c r="P96" s="165">
        <f ca="1"/>
        <v>1.5873210690110495E-3</v>
      </c>
      <c r="Q96" s="165">
        <f ca="1"/>
        <v>6.2567065801863997E-3</v>
      </c>
      <c r="R96" s="165">
        <f ca="1"/>
        <v>1.191720218172776E-2</v>
      </c>
      <c r="S96" s="165">
        <f ca="1"/>
        <v>0</v>
      </c>
      <c r="T96" s="165">
        <f ca="1"/>
        <v>3.2048355003695073E-2</v>
      </c>
      <c r="U96" s="165">
        <f ca="1"/>
        <v>5.176411446978646E-2</v>
      </c>
      <c r="V96" s="140">
        <f ca="1"/>
        <v>9.1198150948411327E-2</v>
      </c>
      <c r="W96" s="139">
        <f ca="1"/>
        <v>0</v>
      </c>
      <c r="X96" s="165">
        <f ca="1"/>
        <v>9.3277418569359671E-4</v>
      </c>
      <c r="Y96" s="165">
        <f ca="1"/>
        <v>1.7537093160937545E-3</v>
      </c>
      <c r="Z96" s="165">
        <f ca="1"/>
        <v>6.5878991428429678E-3</v>
      </c>
      <c r="AA96" s="165">
        <f ca="1"/>
        <v>1.2504492810599288E-2</v>
      </c>
      <c r="AB96" s="165">
        <f ca="1"/>
        <v>0</v>
      </c>
      <c r="AC96" s="165">
        <f ca="1"/>
        <v>3.3622401876647112E-2</v>
      </c>
      <c r="AD96" s="165">
        <f ca="1"/>
        <v>5.4289516583461706E-2</v>
      </c>
      <c r="AE96" s="140">
        <f ca="1"/>
        <v>9.5562889779662874E-2</v>
      </c>
      <c r="AH96" s="137"/>
      <c r="AI96" s="137"/>
      <c r="AJ96" s="137"/>
      <c r="AK96" s="137"/>
      <c r="AM96" s="137"/>
      <c r="AN96" s="137"/>
      <c r="AO96" s="137"/>
      <c r="AQ96" s="137"/>
      <c r="AR96" s="137"/>
      <c r="AS96" s="137"/>
      <c r="AT96" s="137"/>
      <c r="AV96" s="137"/>
      <c r="AW96" s="137"/>
      <c r="AX96" s="137"/>
    </row>
    <row r="97" spans="1:50" s="79" customFormat="1" ht="10.199999999999999" x14ac:dyDescent="0.2">
      <c r="A97" s="97">
        <f t="shared" ca="1" si="3"/>
        <v>86</v>
      </c>
      <c r="B97" s="68" t="s">
        <v>174</v>
      </c>
      <c r="C97" s="98">
        <v>0.4</v>
      </c>
      <c r="D97" s="69" t="s">
        <v>66</v>
      </c>
      <c r="E97" s="138" t="s">
        <v>87</v>
      </c>
      <c r="F97" s="158">
        <v>6.9999999999999999E-4</v>
      </c>
      <c r="G97" s="158">
        <v>1.6999999999999999E-3</v>
      </c>
      <c r="H97" s="158">
        <v>2.7000000000000001E-3</v>
      </c>
      <c r="I97" s="158">
        <v>3.5000000000000001E-3</v>
      </c>
      <c r="J97" s="158" t="s">
        <v>87</v>
      </c>
      <c r="K97" s="158">
        <v>4.7999999999999996E-3</v>
      </c>
      <c r="L97" s="158">
        <v>5.7000000000000002E-3</v>
      </c>
      <c r="M97" s="158">
        <v>6.7999999999999996E-3</v>
      </c>
      <c r="N97" s="139" cm="1">
        <f t="array" aca="1" ref="N97:AE97" ca="1">IF(OR(B97="",NOT($J$2)),"",GetStripDefaultProbability(A97,B97,Parameter_Date,CDSRollDate,E97:M97,SpreadCurveMaturities,D97,C97,$J$4,$J$6))</f>
        <v>0</v>
      </c>
      <c r="O97" s="165">
        <f ca="1"/>
        <v>6.5303425461338271E-4</v>
      </c>
      <c r="P97" s="165">
        <f ca="1"/>
        <v>3.0198854643094242E-3</v>
      </c>
      <c r="Q97" s="165">
        <f ca="1"/>
        <v>9.367490519373356E-3</v>
      </c>
      <c r="R97" s="165">
        <f ca="1"/>
        <v>1.8094112109026006E-2</v>
      </c>
      <c r="S97" s="165">
        <f ca="1"/>
        <v>0</v>
      </c>
      <c r="T97" s="165">
        <f ca="1"/>
        <v>4.1133880082622754E-2</v>
      </c>
      <c r="U97" s="165">
        <f ca="1"/>
        <v>6.8015351388845402E-2</v>
      </c>
      <c r="V97" s="140">
        <f ca="1"/>
        <v>0.11510850220506175</v>
      </c>
      <c r="W97" s="139">
        <f ca="1"/>
        <v>0</v>
      </c>
      <c r="X97" s="165">
        <f ca="1"/>
        <v>7.4628912209839804E-4</v>
      </c>
      <c r="Y97" s="165">
        <f ca="1"/>
        <v>3.1860349705608026E-3</v>
      </c>
      <c r="Z97" s="165">
        <f ca="1"/>
        <v>9.8317509828917959E-3</v>
      </c>
      <c r="AA97" s="165">
        <f ca="1"/>
        <v>1.8989747738012985E-2</v>
      </c>
      <c r="AB97" s="165">
        <f ca="1"/>
        <v>0</v>
      </c>
      <c r="AC97" s="165">
        <f ca="1"/>
        <v>4.3149451015935703E-2</v>
      </c>
      <c r="AD97" s="165">
        <f ca="1"/>
        <v>7.1312425622314435E-2</v>
      </c>
      <c r="AE97" s="140">
        <f ca="1"/>
        <v>0.12058802527104417</v>
      </c>
      <c r="AH97" s="137"/>
      <c r="AI97" s="137"/>
      <c r="AJ97" s="137"/>
      <c r="AK97" s="137"/>
      <c r="AM97" s="137"/>
      <c r="AN97" s="137"/>
      <c r="AO97" s="137"/>
      <c r="AQ97" s="137"/>
      <c r="AR97" s="137"/>
      <c r="AS97" s="137"/>
      <c r="AT97" s="137"/>
      <c r="AV97" s="137"/>
      <c r="AW97" s="137"/>
      <c r="AX97" s="137"/>
    </row>
    <row r="98" spans="1:50" s="79" customFormat="1" ht="10.199999999999999" x14ac:dyDescent="0.2">
      <c r="A98" s="97">
        <f t="shared" ca="1" si="3"/>
        <v>87</v>
      </c>
      <c r="B98" s="68" t="s">
        <v>175</v>
      </c>
      <c r="C98" s="98">
        <v>0.4</v>
      </c>
      <c r="D98" s="69" t="s">
        <v>66</v>
      </c>
      <c r="E98" s="138" t="s">
        <v>87</v>
      </c>
      <c r="F98" s="158">
        <v>2.9999999999999997E-4</v>
      </c>
      <c r="G98" s="158">
        <v>5.0000000000000001E-4</v>
      </c>
      <c r="H98" s="158">
        <v>8.9999999999999998E-4</v>
      </c>
      <c r="I98" s="158">
        <v>1.2999999999999999E-3</v>
      </c>
      <c r="J98" s="158" t="s">
        <v>87</v>
      </c>
      <c r="K98" s="158">
        <v>2.0999999999999999E-3</v>
      </c>
      <c r="L98" s="158">
        <v>2.7000000000000001E-3</v>
      </c>
      <c r="M98" s="158">
        <v>3.3999999999999998E-3</v>
      </c>
      <c r="N98" s="139" cm="1">
        <f t="array" aca="1" ref="N98:AE98" ca="1">IF(OR(B98="",NOT($J$2)),"",GetStripDefaultProbability(A98,B98,Parameter_Date,CDSRollDate,E98:M98,SpreadCurveMaturities,D98,C98,$J$4,$J$6))</f>
        <v>0</v>
      </c>
      <c r="O98" s="165">
        <f ca="1"/>
        <v>2.799239499720052E-4</v>
      </c>
      <c r="P98" s="165">
        <f ca="1"/>
        <v>8.8670719766348327E-4</v>
      </c>
      <c r="Q98" s="165">
        <f ca="1"/>
        <v>3.1323536816416642E-3</v>
      </c>
      <c r="R98" s="165">
        <f ca="1"/>
        <v>6.7733546032791025E-3</v>
      </c>
      <c r="S98" s="165">
        <f ca="1"/>
        <v>0</v>
      </c>
      <c r="T98" s="165">
        <f ca="1"/>
        <v>1.8305634510526358E-2</v>
      </c>
      <c r="U98" s="165">
        <f ca="1"/>
        <v>3.3050941598062988E-2</v>
      </c>
      <c r="V98" s="140">
        <f ca="1"/>
        <v>5.9710758819367604E-2</v>
      </c>
      <c r="W98" s="139">
        <f ca="1"/>
        <v>0</v>
      </c>
      <c r="X98" s="165">
        <f ca="1"/>
        <v>3.7321434723358582E-4</v>
      </c>
      <c r="Y98" s="165">
        <f ca="1"/>
        <v>1.0532122039936809E-3</v>
      </c>
      <c r="Z98" s="165">
        <f ca="1"/>
        <v>3.4645875217036437E-3</v>
      </c>
      <c r="AA98" s="165">
        <f ca="1"/>
        <v>7.2698437933172988E-3</v>
      </c>
      <c r="AB98" s="165">
        <f ca="1"/>
        <v>0</v>
      </c>
      <c r="AC98" s="165">
        <f ca="1"/>
        <v>1.918629724463361E-2</v>
      </c>
      <c r="AD98" s="165">
        <f ca="1"/>
        <v>3.4653733595149561E-2</v>
      </c>
      <c r="AE98" s="140">
        <f ca="1"/>
        <v>6.2591053950538655E-2</v>
      </c>
      <c r="AH98" s="137"/>
      <c r="AI98" s="137"/>
      <c r="AJ98" s="137"/>
      <c r="AK98" s="137"/>
      <c r="AM98" s="137"/>
      <c r="AN98" s="137"/>
      <c r="AO98" s="137"/>
      <c r="AQ98" s="137"/>
      <c r="AR98" s="137"/>
      <c r="AS98" s="137"/>
      <c r="AT98" s="137"/>
      <c r="AV98" s="137"/>
      <c r="AW98" s="137"/>
      <c r="AX98" s="137"/>
    </row>
    <row r="99" spans="1:50" s="79" customFormat="1" ht="10.199999999999999" x14ac:dyDescent="0.2">
      <c r="A99" s="97">
        <f t="shared" ca="1" si="3"/>
        <v>88</v>
      </c>
      <c r="B99" s="68" t="s">
        <v>176</v>
      </c>
      <c r="C99" s="98">
        <v>0.4</v>
      </c>
      <c r="D99" s="69" t="s">
        <v>66</v>
      </c>
      <c r="E99" s="138" t="s">
        <v>87</v>
      </c>
      <c r="F99" s="158">
        <v>1.65E-3</v>
      </c>
      <c r="G99" s="158">
        <v>2.5300000000000001E-3</v>
      </c>
      <c r="H99" s="158">
        <v>3.2299999999999998E-3</v>
      </c>
      <c r="I99" s="158">
        <v>3.5400000000000002E-3</v>
      </c>
      <c r="J99" s="158" t="s">
        <v>87</v>
      </c>
      <c r="K99" s="158">
        <v>4.1999999999999997E-3</v>
      </c>
      <c r="L99" s="158">
        <v>4.5999999999999999E-3</v>
      </c>
      <c r="M99" s="158">
        <v>5.0000000000000001E-3</v>
      </c>
      <c r="N99" s="139" cm="1">
        <f t="array" aca="1" ref="N99:AE99" ca="1">IF(OR(B99="",NOT($J$2)),"",GetStripDefaultProbability(A99,B99,Parameter_Date,CDSRollDate,E99:M99,SpreadCurveMaturities,D99,C99,$J$4,$J$6))</f>
        <v>0</v>
      </c>
      <c r="O99" s="165">
        <f ca="1"/>
        <v>1.5386145530722484E-3</v>
      </c>
      <c r="P99" s="165">
        <f ca="1"/>
        <v>4.4771908833464158E-3</v>
      </c>
      <c r="Q99" s="165">
        <f ca="1"/>
        <v>1.1145573617585947E-2</v>
      </c>
      <c r="R99" s="165">
        <f ca="1"/>
        <v>1.8135255371771297E-2</v>
      </c>
      <c r="S99" s="165">
        <f ca="1"/>
        <v>0</v>
      </c>
      <c r="T99" s="165">
        <f ca="1"/>
        <v>3.5619033904700337E-2</v>
      </c>
      <c r="U99" s="165">
        <f ca="1"/>
        <v>5.4276794502357562E-2</v>
      </c>
      <c r="V99" s="140">
        <f ca="1"/>
        <v>8.3578832097436551E-2</v>
      </c>
      <c r="W99" s="139">
        <f ca="1"/>
        <v>0</v>
      </c>
      <c r="X99" s="165">
        <f ca="1"/>
        <v>1.6317826338753116E-3</v>
      </c>
      <c r="Y99" s="165">
        <f ca="1"/>
        <v>4.6870581513099863E-3</v>
      </c>
      <c r="Z99" s="165">
        <f ca="1"/>
        <v>1.1699949678927291E-2</v>
      </c>
      <c r="AA99" s="165">
        <f ca="1"/>
        <v>1.9034286557270796E-2</v>
      </c>
      <c r="AB99" s="165">
        <f ca="1"/>
        <v>0</v>
      </c>
      <c r="AC99" s="165">
        <f ca="1"/>
        <v>3.7368500557961148E-2</v>
      </c>
      <c r="AD99" s="165">
        <f ca="1"/>
        <v>5.6920086338577702E-2</v>
      </c>
      <c r="AE99" s="140">
        <f ca="1"/>
        <v>8.7582500912318229E-2</v>
      </c>
      <c r="AH99" s="137"/>
      <c r="AI99" s="137"/>
      <c r="AJ99" s="137"/>
      <c r="AK99" s="137"/>
      <c r="AM99" s="137"/>
      <c r="AN99" s="137"/>
      <c r="AO99" s="137"/>
      <c r="AQ99" s="137"/>
      <c r="AR99" s="137"/>
      <c r="AS99" s="137"/>
      <c r="AT99" s="137"/>
      <c r="AV99" s="137"/>
      <c r="AW99" s="137"/>
      <c r="AX99" s="137"/>
    </row>
    <row r="100" spans="1:50" s="79" customFormat="1" ht="10.199999999999999" x14ac:dyDescent="0.2">
      <c r="A100" s="97">
        <f t="shared" ca="1" si="3"/>
        <v>89</v>
      </c>
      <c r="B100" s="68" t="s">
        <v>177</v>
      </c>
      <c r="C100" s="98">
        <v>0.4</v>
      </c>
      <c r="D100" s="69" t="s">
        <v>66</v>
      </c>
      <c r="E100" s="138" t="s">
        <v>87</v>
      </c>
      <c r="F100" s="158">
        <v>4.0000000000000002E-4</v>
      </c>
      <c r="G100" s="158">
        <v>6.9999999999999999E-4</v>
      </c>
      <c r="H100" s="158">
        <v>1.1999999999999999E-3</v>
      </c>
      <c r="I100" s="158">
        <v>1.4E-3</v>
      </c>
      <c r="J100" s="158" t="s">
        <v>87</v>
      </c>
      <c r="K100" s="158">
        <v>2.0999999999999999E-3</v>
      </c>
      <c r="L100" s="158">
        <v>2.5000000000000001E-3</v>
      </c>
      <c r="M100" s="158">
        <v>3.0000000000000001E-3</v>
      </c>
      <c r="N100" s="139" cm="1">
        <f t="array" aca="1" ref="N100:AE100" ca="1">IF(OR(B100="",NOT($J$2)),"",GetStripDefaultProbability(A100,B100,Parameter_Date,CDSRollDate,E100:M100,SpreadCurveMaturities,D100,C100,$J$4,$J$6))</f>
        <v>0</v>
      </c>
      <c r="O100" s="165">
        <f ca="1"/>
        <v>3.7321455535799242E-4</v>
      </c>
      <c r="P100" s="165">
        <f ca="1"/>
        <v>1.241675841888723E-3</v>
      </c>
      <c r="Q100" s="165">
        <f ca="1"/>
        <v>4.1728230255283494E-3</v>
      </c>
      <c r="R100" s="165">
        <f ca="1"/>
        <v>7.2438215910274328E-3</v>
      </c>
      <c r="S100" s="165">
        <f ca="1"/>
        <v>0</v>
      </c>
      <c r="T100" s="165">
        <f ca="1"/>
        <v>1.8202705068158798E-2</v>
      </c>
      <c r="U100" s="165">
        <f ca="1"/>
        <v>3.0333117831779721E-2</v>
      </c>
      <c r="V100" s="140">
        <f ca="1"/>
        <v>5.2201462575198532E-2</v>
      </c>
      <c r="W100" s="139">
        <f ca="1"/>
        <v>0</v>
      </c>
      <c r="X100" s="165">
        <f ca="1"/>
        <v>4.6649612398852458E-4</v>
      </c>
      <c r="Y100" s="165">
        <f ca="1"/>
        <v>1.4081216917138928E-3</v>
      </c>
      <c r="Z100" s="165">
        <f ca="1"/>
        <v>4.5047101002785306E-3</v>
      </c>
      <c r="AA100" s="165">
        <f ca="1"/>
        <v>7.7400756064007759E-3</v>
      </c>
      <c r="AB100" s="165">
        <f ca="1"/>
        <v>0</v>
      </c>
      <c r="AC100" s="165">
        <f ca="1"/>
        <v>1.9083137763340918E-2</v>
      </c>
      <c r="AD100" s="165">
        <f ca="1"/>
        <v>3.1807762817059659E-2</v>
      </c>
      <c r="AE100" s="140">
        <f ca="1"/>
        <v>5.4727567527634746E-2</v>
      </c>
      <c r="AH100" s="137"/>
      <c r="AI100" s="137"/>
      <c r="AJ100" s="137"/>
      <c r="AK100" s="137"/>
      <c r="AM100" s="137"/>
      <c r="AN100" s="137"/>
      <c r="AO100" s="137"/>
      <c r="AQ100" s="137"/>
      <c r="AR100" s="137"/>
      <c r="AS100" s="137"/>
      <c r="AT100" s="137"/>
      <c r="AV100" s="137"/>
      <c r="AW100" s="137"/>
      <c r="AX100" s="137"/>
    </row>
    <row r="101" spans="1:50" s="79" customFormat="1" ht="10.199999999999999" x14ac:dyDescent="0.2">
      <c r="A101" s="97">
        <f t="shared" ca="1" si="3"/>
        <v>90</v>
      </c>
      <c r="B101" s="68" t="s">
        <v>178</v>
      </c>
      <c r="C101" s="98">
        <v>0.4</v>
      </c>
      <c r="D101" s="69" t="s">
        <v>66</v>
      </c>
      <c r="E101" s="138" t="s">
        <v>87</v>
      </c>
      <c r="F101" s="158">
        <v>5.9999999999999995E-4</v>
      </c>
      <c r="G101" s="158">
        <v>1.5E-3</v>
      </c>
      <c r="H101" s="158">
        <v>2.3E-3</v>
      </c>
      <c r="I101" s="158">
        <v>3.3999999999999998E-3</v>
      </c>
      <c r="J101" s="158" t="s">
        <v>87</v>
      </c>
      <c r="K101" s="158">
        <v>5.3E-3</v>
      </c>
      <c r="L101" s="158">
        <v>6.6E-3</v>
      </c>
      <c r="M101" s="158">
        <v>8.2000000000000007E-3</v>
      </c>
      <c r="N101" s="139" cm="1">
        <f t="array" aca="1" ref="N101:AE101" ca="1">IF(OR(B101="",NOT($J$2)),"",GetStripDefaultProbability(A101,B101,Parameter_Date,CDSRollDate,E101:M101,SpreadCurveMaturities,D101,C101,$J$4,$J$6))</f>
        <v>0</v>
      </c>
      <c r="O101" s="165">
        <f ca="1"/>
        <v>5.5976970645477131E-4</v>
      </c>
      <c r="P101" s="165">
        <f ca="1"/>
        <v>2.6653443823296818E-3</v>
      </c>
      <c r="Q101" s="165">
        <f ca="1"/>
        <v>7.9804590262735342E-3</v>
      </c>
      <c r="R101" s="165">
        <f ca="1"/>
        <v>1.7648584946886481E-2</v>
      </c>
      <c r="S101" s="165">
        <f ca="1"/>
        <v>0</v>
      </c>
      <c r="T101" s="165">
        <f ca="1"/>
        <v>4.5695670609474326E-2</v>
      </c>
      <c r="U101" s="165">
        <f ca="1"/>
        <v>7.9160330162403314E-2</v>
      </c>
      <c r="V101" s="140">
        <f ca="1"/>
        <v>0.13912444613935426</v>
      </c>
      <c r="W101" s="139">
        <f ca="1"/>
        <v>0</v>
      </c>
      <c r="X101" s="165">
        <f ca="1"/>
        <v>6.5303351059242676E-4</v>
      </c>
      <c r="Y101" s="165">
        <f ca="1"/>
        <v>2.8315529738385248E-3</v>
      </c>
      <c r="Z101" s="165">
        <f ca="1"/>
        <v>8.3606603070666141E-3</v>
      </c>
      <c r="AA101" s="165">
        <f ca="1"/>
        <v>1.8522554061664587E-2</v>
      </c>
      <c r="AB101" s="165">
        <f ca="1"/>
        <v>0</v>
      </c>
      <c r="AC101" s="165">
        <f ca="1"/>
        <v>4.793208365033419E-2</v>
      </c>
      <c r="AD101" s="165">
        <f ca="1"/>
        <v>8.2985027265389366E-2</v>
      </c>
      <c r="AE101" s="140">
        <f ca="1"/>
        <v>0.14569884103676045</v>
      </c>
      <c r="AH101" s="137"/>
      <c r="AI101" s="137"/>
      <c r="AJ101" s="137"/>
      <c r="AK101" s="137"/>
      <c r="AM101" s="137"/>
      <c r="AN101" s="137"/>
      <c r="AO101" s="137"/>
      <c r="AQ101" s="137"/>
      <c r="AR101" s="137"/>
      <c r="AS101" s="137"/>
      <c r="AT101" s="137"/>
      <c r="AV101" s="137"/>
      <c r="AW101" s="137"/>
      <c r="AX101" s="137"/>
    </row>
    <row r="102" spans="1:50" s="79" customFormat="1" ht="10.199999999999999" x14ac:dyDescent="0.2">
      <c r="A102" s="97">
        <f t="shared" ca="1" si="3"/>
        <v>91</v>
      </c>
      <c r="B102" s="68" t="s">
        <v>179</v>
      </c>
      <c r="C102" s="98">
        <v>0.4</v>
      </c>
      <c r="D102" s="69" t="s">
        <v>66</v>
      </c>
      <c r="E102" s="138" t="s">
        <v>87</v>
      </c>
      <c r="F102" s="158">
        <v>4.0000000000000002E-4</v>
      </c>
      <c r="G102" s="158">
        <v>5.0000000000000001E-4</v>
      </c>
      <c r="H102" s="158">
        <v>8.9999999999999998E-4</v>
      </c>
      <c r="I102" s="158">
        <v>1.1999999999999999E-3</v>
      </c>
      <c r="J102" s="158" t="s">
        <v>87</v>
      </c>
      <c r="K102" s="158">
        <v>2E-3</v>
      </c>
      <c r="L102" s="158">
        <v>2.5000000000000001E-3</v>
      </c>
      <c r="M102" s="158">
        <v>3.3E-3</v>
      </c>
      <c r="N102" s="139" cm="1">
        <f t="array" aca="1" ref="N102:AE102" ca="1">IF(OR(B102="",NOT($J$2)),"",GetStripDefaultProbability(A102,B102,Parameter_Date,CDSRollDate,E102:M102,SpreadCurveMaturities,D102,C102,$J$4,$J$6))</f>
        <v>0</v>
      </c>
      <c r="O102" s="165">
        <f ca="1"/>
        <v>3.7321455535799242E-4</v>
      </c>
      <c r="P102" s="165">
        <f ca="1"/>
        <v>8.8443169589835779E-4</v>
      </c>
      <c r="Q102" s="165">
        <f ca="1"/>
        <v>3.1300474157849312E-3</v>
      </c>
      <c r="R102" s="165">
        <f ca="1"/>
        <v>6.2370848141483082E-3</v>
      </c>
      <c r="S102" s="165">
        <f ca="1"/>
        <v>0</v>
      </c>
      <c r="T102" s="165">
        <f ca="1"/>
        <v>1.7442367216736088E-2</v>
      </c>
      <c r="U102" s="165">
        <f ca="1"/>
        <v>3.0563449205591398E-2</v>
      </c>
      <c r="V102" s="140">
        <f ca="1"/>
        <v>5.8255650600665843E-2</v>
      </c>
      <c r="W102" s="139">
        <f ca="1"/>
        <v>0</v>
      </c>
      <c r="X102" s="165">
        <f ca="1"/>
        <v>4.6649612398852458E-4</v>
      </c>
      <c r="Y102" s="165">
        <f ca="1"/>
        <v>1.0509370814404395E-3</v>
      </c>
      <c r="Z102" s="165">
        <f ca="1"/>
        <v>3.462282024450869E-3</v>
      </c>
      <c r="AA102" s="165">
        <f ca="1"/>
        <v>6.7338420720669534E-3</v>
      </c>
      <c r="AB102" s="165">
        <f ca="1"/>
        <v>0</v>
      </c>
      <c r="AC102" s="165">
        <f ca="1"/>
        <v>1.8260824172998236E-2</v>
      </c>
      <c r="AD102" s="165">
        <f ca="1"/>
        <v>3.2045045915034431E-2</v>
      </c>
      <c r="AE102" s="140">
        <f ca="1"/>
        <v>6.1067386701676662E-2</v>
      </c>
      <c r="AH102" s="137"/>
      <c r="AI102" s="137"/>
      <c r="AJ102" s="137"/>
      <c r="AK102" s="137"/>
      <c r="AM102" s="137"/>
      <c r="AN102" s="137"/>
      <c r="AO102" s="137"/>
      <c r="AQ102" s="137"/>
      <c r="AR102" s="137"/>
      <c r="AS102" s="137"/>
      <c r="AT102" s="137"/>
      <c r="AV102" s="137"/>
      <c r="AW102" s="137"/>
      <c r="AX102" s="137"/>
    </row>
    <row r="103" spans="1:50" s="79" customFormat="1" ht="10.199999999999999" x14ac:dyDescent="0.2">
      <c r="A103" s="97">
        <f t="shared" ca="1" si="3"/>
        <v>92</v>
      </c>
      <c r="B103" s="68" t="s">
        <v>180</v>
      </c>
      <c r="C103" s="98">
        <v>0.4</v>
      </c>
      <c r="D103" s="69" t="s">
        <v>66</v>
      </c>
      <c r="E103" s="138" t="s">
        <v>87</v>
      </c>
      <c r="F103" s="158">
        <v>5.0000000000000001E-4</v>
      </c>
      <c r="G103" s="158">
        <v>5.0000000000000001E-4</v>
      </c>
      <c r="H103" s="158">
        <v>8.9999999999999998E-4</v>
      </c>
      <c r="I103" s="158">
        <v>1.2999999999999999E-3</v>
      </c>
      <c r="J103" s="158" t="s">
        <v>87</v>
      </c>
      <c r="K103" s="158">
        <v>2E-3</v>
      </c>
      <c r="L103" s="158">
        <v>2.5000000000000001E-3</v>
      </c>
      <c r="M103" s="158">
        <v>2.8E-3</v>
      </c>
      <c r="N103" s="139" cm="1">
        <f t="array" aca="1" ref="N103:AE103" ca="1">IF(OR(B103="",NOT($J$2)),"",GetStripDefaultProbability(A103,B103,Parameter_Date,CDSRollDate,E103:M103,SpreadCurveMaturities,D103,C103,$J$4,$J$6))</f>
        <v>0</v>
      </c>
      <c r="O103" s="165">
        <f ca="1"/>
        <v>4.6649647376628689E-4</v>
      </c>
      <c r="P103" s="165">
        <f ca="1"/>
        <v>8.8215636935595754E-4</v>
      </c>
      <c r="Q103" s="165">
        <f ca="1"/>
        <v>3.1277412926790094E-3</v>
      </c>
      <c r="R103" s="165">
        <f ca="1"/>
        <v>6.7686837365730224E-3</v>
      </c>
      <c r="S103" s="165">
        <f ca="1"/>
        <v>0</v>
      </c>
      <c r="T103" s="165">
        <f ca="1"/>
        <v>1.7401820186853212E-2</v>
      </c>
      <c r="U103" s="165">
        <f ca="1"/>
        <v>3.0522573348183979E-2</v>
      </c>
      <c r="V103" s="140">
        <f ca="1"/>
        <v>4.8504975252058324E-2</v>
      </c>
      <c r="W103" s="139">
        <f ca="1"/>
        <v>0</v>
      </c>
      <c r="X103" s="165">
        <f ca="1"/>
        <v>5.5976917815403482E-4</v>
      </c>
      <c r="Y103" s="165">
        <f ca="1"/>
        <v>1.0486621340873858E-3</v>
      </c>
      <c r="Z103" s="165">
        <f ca="1"/>
        <v>3.4599766699483503E-3</v>
      </c>
      <c r="AA103" s="165">
        <f ca="1"/>
        <v>7.2651752614674159E-3</v>
      </c>
      <c r="AB103" s="165">
        <f ca="1"/>
        <v>0</v>
      </c>
      <c r="AC103" s="165">
        <f ca="1"/>
        <v>1.8220310918211191E-2</v>
      </c>
      <c r="AD103" s="165">
        <f ca="1"/>
        <v>3.2004017696542264E-2</v>
      </c>
      <c r="AE103" s="140">
        <f ca="1"/>
        <v>5.0851487298711362E-2</v>
      </c>
      <c r="AH103" s="137"/>
      <c r="AI103" s="137"/>
      <c r="AJ103" s="137"/>
      <c r="AK103" s="137"/>
      <c r="AM103" s="137"/>
      <c r="AN103" s="137"/>
      <c r="AO103" s="137"/>
      <c r="AQ103" s="137"/>
      <c r="AR103" s="137"/>
      <c r="AS103" s="137"/>
      <c r="AT103" s="137"/>
      <c r="AV103" s="137"/>
      <c r="AW103" s="137"/>
      <c r="AX103" s="137"/>
    </row>
    <row r="104" spans="1:50" s="79" customFormat="1" ht="10.199999999999999" x14ac:dyDescent="0.2">
      <c r="A104" s="97">
        <f t="shared" ca="1" si="3"/>
        <v>93</v>
      </c>
      <c r="B104" s="68" t="s">
        <v>181</v>
      </c>
      <c r="C104" s="98">
        <v>0.4</v>
      </c>
      <c r="D104" s="69" t="s">
        <v>66</v>
      </c>
      <c r="E104" s="138" t="s">
        <v>87</v>
      </c>
      <c r="F104" s="158">
        <v>2.9999999999999997E-4</v>
      </c>
      <c r="G104" s="158">
        <v>1.1000000000000001E-3</v>
      </c>
      <c r="H104" s="158">
        <v>1.5E-3</v>
      </c>
      <c r="I104" s="158">
        <v>2E-3</v>
      </c>
      <c r="J104" s="158" t="s">
        <v>87</v>
      </c>
      <c r="K104" s="158">
        <v>2.8999999999999998E-3</v>
      </c>
      <c r="L104" s="158">
        <v>3.5999999999999999E-3</v>
      </c>
      <c r="M104" s="158">
        <v>4.4999999999999997E-3</v>
      </c>
      <c r="N104" s="139" cm="1">
        <f t="array" aca="1" ref="N104:AE104" ca="1">IF(OR(B104="",NOT($J$2)),"",GetStripDefaultProbability(A104,B104,Parameter_Date,CDSRollDate,E104:M104,SpreadCurveMaturities,D104,C104,$J$4,$J$6))</f>
        <v>0</v>
      </c>
      <c r="O104" s="165">
        <f ca="1"/>
        <v>2.799239499720052E-4</v>
      </c>
      <c r="P104" s="165">
        <f ca="1"/>
        <v>1.9583111808824105E-3</v>
      </c>
      <c r="Q104" s="165">
        <f ca="1"/>
        <v>5.2046973894271931E-3</v>
      </c>
      <c r="R104" s="165">
        <f ca="1"/>
        <v>1.0371113052549452E-2</v>
      </c>
      <c r="S104" s="165">
        <f ca="1"/>
        <v>0</v>
      </c>
      <c r="T104" s="165">
        <f ca="1"/>
        <v>2.5071451425545899E-2</v>
      </c>
      <c r="U104" s="165">
        <f ca="1"/>
        <v>4.3621896416285777E-2</v>
      </c>
      <c r="V104" s="140">
        <f ca="1"/>
        <v>7.8132008995106639E-2</v>
      </c>
      <c r="W104" s="139">
        <f ca="1"/>
        <v>0</v>
      </c>
      <c r="X104" s="165">
        <f ca="1"/>
        <v>3.7321434723358582E-4</v>
      </c>
      <c r="Y104" s="165">
        <f ca="1"/>
        <v>2.124637601431667E-3</v>
      </c>
      <c r="Z104" s="165">
        <f ca="1"/>
        <v>5.5362405633690992E-3</v>
      </c>
      <c r="AA104" s="165">
        <f ca="1"/>
        <v>1.0865803813014607E-2</v>
      </c>
      <c r="AB104" s="165">
        <f ca="1"/>
        <v>0</v>
      </c>
      <c r="AC104" s="165">
        <f ca="1"/>
        <v>2.6303653019050688E-2</v>
      </c>
      <c r="AD104" s="165">
        <f ca="1"/>
        <v>4.5755604677000794E-2</v>
      </c>
      <c r="AE104" s="140">
        <f ca="1"/>
        <v>8.1895006949937121E-2</v>
      </c>
      <c r="AH104" s="137"/>
      <c r="AI104" s="137"/>
      <c r="AJ104" s="137"/>
      <c r="AK104" s="137"/>
      <c r="AM104" s="137"/>
      <c r="AN104" s="137"/>
      <c r="AO104" s="137"/>
      <c r="AQ104" s="137"/>
      <c r="AR104" s="137"/>
      <c r="AS104" s="137"/>
      <c r="AT104" s="137"/>
      <c r="AV104" s="137"/>
      <c r="AW104" s="137"/>
      <c r="AX104" s="137"/>
    </row>
    <row r="105" spans="1:50" s="79" customFormat="1" ht="10.199999999999999" x14ac:dyDescent="0.2">
      <c r="A105" s="97">
        <f t="shared" ca="1" si="3"/>
        <v>94</v>
      </c>
      <c r="B105" s="68" t="s">
        <v>182</v>
      </c>
      <c r="C105" s="98">
        <v>0.4</v>
      </c>
      <c r="D105" s="69" t="s">
        <v>66</v>
      </c>
      <c r="E105" s="138" t="s">
        <v>87</v>
      </c>
      <c r="F105" s="158">
        <v>2.9999999999999997E-4</v>
      </c>
      <c r="G105" s="158">
        <v>5.0000000000000001E-4</v>
      </c>
      <c r="H105" s="158">
        <v>8.9999999999999998E-4</v>
      </c>
      <c r="I105" s="158">
        <v>1.2999999999999999E-3</v>
      </c>
      <c r="J105" s="158" t="s">
        <v>87</v>
      </c>
      <c r="K105" s="158">
        <v>2.0999999999999999E-3</v>
      </c>
      <c r="L105" s="158">
        <v>2.7000000000000001E-3</v>
      </c>
      <c r="M105" s="158">
        <v>3.3999999999999998E-3</v>
      </c>
      <c r="N105" s="139" cm="1">
        <f t="array" aca="1" ref="N105:AE105" ca="1">IF(OR(B105="",NOT($J$2)),"",GetStripDefaultProbability(A105,B105,Parameter_Date,CDSRollDate,E105:M105,SpreadCurveMaturities,D105,C105,$J$4,$J$6))</f>
        <v>0</v>
      </c>
      <c r="O105" s="165">
        <f ca="1"/>
        <v>2.799239499720052E-4</v>
      </c>
      <c r="P105" s="165">
        <f ca="1"/>
        <v>8.8670719766348327E-4</v>
      </c>
      <c r="Q105" s="165">
        <f ca="1"/>
        <v>3.1323536816416642E-3</v>
      </c>
      <c r="R105" s="165">
        <f ca="1"/>
        <v>6.7733546032791025E-3</v>
      </c>
      <c r="S105" s="165">
        <f ca="1"/>
        <v>0</v>
      </c>
      <c r="T105" s="165">
        <f ca="1"/>
        <v>1.8305634510526358E-2</v>
      </c>
      <c r="U105" s="165">
        <f ca="1"/>
        <v>3.3050941598062988E-2</v>
      </c>
      <c r="V105" s="140">
        <f ca="1"/>
        <v>5.9710758819367604E-2</v>
      </c>
      <c r="W105" s="139">
        <f ca="1"/>
        <v>0</v>
      </c>
      <c r="X105" s="165">
        <f ca="1"/>
        <v>3.7321434723358582E-4</v>
      </c>
      <c r="Y105" s="165">
        <f ca="1"/>
        <v>1.0532122039936809E-3</v>
      </c>
      <c r="Z105" s="165">
        <f ca="1"/>
        <v>3.4645875217036437E-3</v>
      </c>
      <c r="AA105" s="165">
        <f ca="1"/>
        <v>7.2698437933172988E-3</v>
      </c>
      <c r="AB105" s="165">
        <f ca="1"/>
        <v>0</v>
      </c>
      <c r="AC105" s="165">
        <f ca="1"/>
        <v>1.918629724463361E-2</v>
      </c>
      <c r="AD105" s="165">
        <f ca="1"/>
        <v>3.4653733595149561E-2</v>
      </c>
      <c r="AE105" s="140">
        <f ca="1"/>
        <v>6.2591053950538655E-2</v>
      </c>
      <c r="AH105" s="137"/>
      <c r="AI105" s="137"/>
      <c r="AJ105" s="137"/>
      <c r="AK105" s="137"/>
      <c r="AM105" s="137"/>
      <c r="AN105" s="137"/>
      <c r="AO105" s="137"/>
      <c r="AQ105" s="137"/>
      <c r="AR105" s="137"/>
      <c r="AS105" s="137"/>
      <c r="AT105" s="137"/>
      <c r="AV105" s="137"/>
      <c r="AW105" s="137"/>
      <c r="AX105" s="137"/>
    </row>
    <row r="106" spans="1:50" s="79" customFormat="1" ht="10.199999999999999" x14ac:dyDescent="0.2">
      <c r="A106" s="97">
        <f t="shared" ca="1" si="3"/>
        <v>95</v>
      </c>
      <c r="B106" s="68" t="s">
        <v>183</v>
      </c>
      <c r="C106" s="98">
        <v>0.4</v>
      </c>
      <c r="D106" s="69" t="s">
        <v>66</v>
      </c>
      <c r="E106" s="138" t="s">
        <v>87</v>
      </c>
      <c r="F106" s="158">
        <v>8.9999999999999998E-4</v>
      </c>
      <c r="G106" s="158">
        <v>8.9999999999999998E-4</v>
      </c>
      <c r="H106" s="158">
        <v>1.8E-3</v>
      </c>
      <c r="I106" s="158">
        <v>2.5999999999999999E-3</v>
      </c>
      <c r="J106" s="158" t="s">
        <v>87</v>
      </c>
      <c r="K106" s="158">
        <v>4.3E-3</v>
      </c>
      <c r="L106" s="158">
        <v>5.4000000000000003E-3</v>
      </c>
      <c r="M106" s="158">
        <v>6.4000000000000003E-3</v>
      </c>
      <c r="N106" s="139" cm="1">
        <f t="array" aca="1" ref="N106:AE106" ca="1">IF(OR(B106="",NOT($J$2)),"",GetStripDefaultProbability(A106,B106,Parameter_Date,CDSRollDate,E106:M106,SpreadCurveMaturities,D106,C106,$J$4,$J$6))</f>
        <v>0</v>
      </c>
      <c r="O106" s="165">
        <f ca="1"/>
        <v>8.3953730218899736E-4</v>
      </c>
      <c r="P106" s="165">
        <f ca="1"/>
        <v>1.5873210690110495E-3</v>
      </c>
      <c r="Q106" s="165">
        <f ca="1"/>
        <v>6.2567065801863997E-3</v>
      </c>
      <c r="R106" s="165">
        <f ca="1"/>
        <v>1.3513834740416342E-2</v>
      </c>
      <c r="S106" s="165">
        <f ca="1"/>
        <v>0</v>
      </c>
      <c r="T106" s="165">
        <f ca="1"/>
        <v>3.7273207205486658E-2</v>
      </c>
      <c r="U106" s="165">
        <f ca="1"/>
        <v>6.5245986484959162E-2</v>
      </c>
      <c r="V106" s="140">
        <f ca="1"/>
        <v>0.10924122528924074</v>
      </c>
      <c r="W106" s="139">
        <f ca="1"/>
        <v>0</v>
      </c>
      <c r="X106" s="165">
        <f ca="1"/>
        <v>9.3277418569359671E-4</v>
      </c>
      <c r="Y106" s="165">
        <f ca="1"/>
        <v>1.7537093160937545E-3</v>
      </c>
      <c r="Z106" s="165">
        <f ca="1"/>
        <v>6.5878991428429678E-3</v>
      </c>
      <c r="AA106" s="165">
        <f ca="1"/>
        <v>1.4180255007558262E-2</v>
      </c>
      <c r="AB106" s="165">
        <f ca="1"/>
        <v>0</v>
      </c>
      <c r="AC106" s="165">
        <f ca="1"/>
        <v>3.9100904765265954E-2</v>
      </c>
      <c r="AD106" s="165">
        <f ca="1"/>
        <v>6.8415130689289061E-2</v>
      </c>
      <c r="AE106" s="140">
        <f ca="1"/>
        <v>0.11445861912459365</v>
      </c>
      <c r="AH106" s="137"/>
      <c r="AI106" s="137"/>
      <c r="AJ106" s="137"/>
      <c r="AK106" s="137"/>
      <c r="AM106" s="137"/>
      <c r="AN106" s="137"/>
      <c r="AO106" s="137"/>
      <c r="AQ106" s="137"/>
      <c r="AR106" s="137"/>
      <c r="AS106" s="137"/>
      <c r="AT106" s="137"/>
      <c r="AV106" s="137"/>
      <c r="AW106" s="137"/>
      <c r="AX106" s="137"/>
    </row>
    <row r="107" spans="1:50" s="79" customFormat="1" ht="10.199999999999999" x14ac:dyDescent="0.2">
      <c r="A107" s="97">
        <f t="shared" ca="1" si="3"/>
        <v>96</v>
      </c>
      <c r="B107" s="68" t="s">
        <v>184</v>
      </c>
      <c r="C107" s="98">
        <v>0.4</v>
      </c>
      <c r="D107" s="69" t="s">
        <v>66</v>
      </c>
      <c r="E107" s="138" t="s">
        <v>87</v>
      </c>
      <c r="F107" s="158">
        <v>2.9999999999999997E-4</v>
      </c>
      <c r="G107" s="158">
        <v>5.0000000000000001E-4</v>
      </c>
      <c r="H107" s="158">
        <v>1.1999999999999999E-3</v>
      </c>
      <c r="I107" s="158">
        <v>1.6000000000000001E-3</v>
      </c>
      <c r="J107" s="158" t="s">
        <v>87</v>
      </c>
      <c r="K107" s="158">
        <v>2.5999999999999999E-3</v>
      </c>
      <c r="L107" s="158">
        <v>3.3999999999999998E-3</v>
      </c>
      <c r="M107" s="158">
        <v>4.4000000000000003E-3</v>
      </c>
      <c r="N107" s="139" cm="1">
        <f t="array" aca="1" ref="N107:AE107" ca="1">IF(OR(B107="",NOT($J$2)),"",GetStripDefaultProbability(A107,B107,Parameter_Date,CDSRollDate,E107:M107,SpreadCurveMaturities,D107,C107,$J$4,$J$6))</f>
        <v>0</v>
      </c>
      <c r="O107" s="165">
        <f ca="1"/>
        <v>2.799239499720052E-4</v>
      </c>
      <c r="P107" s="165">
        <f ca="1"/>
        <v>8.8670719766348327E-4</v>
      </c>
      <c r="Q107" s="165">
        <f ca="1"/>
        <v>4.1874856574951602E-3</v>
      </c>
      <c r="R107" s="165">
        <f ca="1"/>
        <v>8.3256395596750243E-3</v>
      </c>
      <c r="S107" s="165">
        <f ca="1"/>
        <v>0</v>
      </c>
      <c r="T107" s="165">
        <f ca="1"/>
        <v>2.2629169461011789E-2</v>
      </c>
      <c r="U107" s="165">
        <f ca="1"/>
        <v>4.1550621484000017E-2</v>
      </c>
      <c r="V107" s="140">
        <f ca="1"/>
        <v>7.7111604519535359E-2</v>
      </c>
      <c r="W107" s="139">
        <f ca="1"/>
        <v>0</v>
      </c>
      <c r="X107" s="165">
        <f ca="1"/>
        <v>3.7321434723358582E-4</v>
      </c>
      <c r="Y107" s="165">
        <f ca="1"/>
        <v>1.0532122039936809E-3</v>
      </c>
      <c r="Z107" s="165">
        <f ca="1"/>
        <v>4.5193678455092146E-3</v>
      </c>
      <c r="AA107" s="165">
        <f ca="1"/>
        <v>8.8213528012500708E-3</v>
      </c>
      <c r="AB107" s="165">
        <f ca="1"/>
        <v>0</v>
      </c>
      <c r="AC107" s="165">
        <f ca="1"/>
        <v>2.373010292806832E-2</v>
      </c>
      <c r="AD107" s="165">
        <f ca="1"/>
        <v>4.3573712608331649E-2</v>
      </c>
      <c r="AE107" s="140">
        <f ca="1"/>
        <v>8.0818590083337249E-2</v>
      </c>
      <c r="AH107" s="137"/>
      <c r="AI107" s="137"/>
      <c r="AJ107" s="137"/>
      <c r="AK107" s="137"/>
      <c r="AM107" s="137"/>
      <c r="AN107" s="137"/>
      <c r="AO107" s="137"/>
      <c r="AQ107" s="137"/>
      <c r="AR107" s="137"/>
      <c r="AS107" s="137"/>
      <c r="AT107" s="137"/>
      <c r="AV107" s="137"/>
      <c r="AW107" s="137"/>
      <c r="AX107" s="137"/>
    </row>
    <row r="108" spans="1:50" s="79" customFormat="1" ht="10.199999999999999" x14ac:dyDescent="0.2">
      <c r="A108" s="97">
        <f t="shared" ca="1" si="3"/>
        <v>97</v>
      </c>
      <c r="B108" s="68" t="s">
        <v>185</v>
      </c>
      <c r="C108" s="98">
        <v>0.4</v>
      </c>
      <c r="D108" s="69" t="s">
        <v>66</v>
      </c>
      <c r="E108" s="138" t="s">
        <v>87</v>
      </c>
      <c r="F108" s="158">
        <v>6.9999999999999999E-4</v>
      </c>
      <c r="G108" s="158">
        <v>1.1000000000000001E-3</v>
      </c>
      <c r="H108" s="158">
        <v>2E-3</v>
      </c>
      <c r="I108" s="158">
        <v>2.8999999999999998E-3</v>
      </c>
      <c r="J108" s="158" t="s">
        <v>87</v>
      </c>
      <c r="K108" s="158">
        <v>4.8999999999999998E-3</v>
      </c>
      <c r="L108" s="158">
        <v>6.0000000000000001E-3</v>
      </c>
      <c r="M108" s="158">
        <v>7.1999999999999998E-3</v>
      </c>
      <c r="N108" s="139" cm="1">
        <f t="array" aca="1" ref="N108:AE108" ca="1">IF(OR(B108="",NOT($J$2)),"",GetStripDefaultProbability(A108,B108,Parameter_Date,CDSRollDate,E108:M108,SpreadCurveMaturities,D108,C108,$J$4,$J$6))</f>
        <v>0</v>
      </c>
      <c r="O108" s="165">
        <f ca="1"/>
        <v>6.5303425461338271E-4</v>
      </c>
      <c r="P108" s="165">
        <f ca="1"/>
        <v>1.9490125314826079E-3</v>
      </c>
      <c r="Q108" s="165">
        <f ca="1"/>
        <v>6.9509631904643987E-3</v>
      </c>
      <c r="R108" s="165">
        <f ca="1"/>
        <v>1.5067411234717887E-2</v>
      </c>
      <c r="S108" s="165">
        <f ca="1"/>
        <v>0</v>
      </c>
      <c r="T108" s="165">
        <f ca="1"/>
        <v>4.2438254157610045E-2</v>
      </c>
      <c r="U108" s="165">
        <f ca="1"/>
        <v>7.2182357238937622E-2</v>
      </c>
      <c r="V108" s="140">
        <f ca="1"/>
        <v>0.12235257322539927</v>
      </c>
      <c r="W108" s="139">
        <f ca="1"/>
        <v>0</v>
      </c>
      <c r="X108" s="165">
        <f ca="1"/>
        <v>7.4628912209839804E-4</v>
      </c>
      <c r="Y108" s="165">
        <f ca="1"/>
        <v>2.1153405016756111E-3</v>
      </c>
      <c r="Z108" s="165">
        <f ca="1"/>
        <v>7.2819243728191596E-3</v>
      </c>
      <c r="AA108" s="165">
        <f ca="1"/>
        <v>1.5812709332901576E-2</v>
      </c>
      <c r="AB108" s="165">
        <f ca="1"/>
        <v>0</v>
      </c>
      <c r="AC108" s="165">
        <f ca="1"/>
        <v>4.4517437651220182E-2</v>
      </c>
      <c r="AD108" s="165">
        <f ca="1"/>
        <v>7.5680069989006338E-2</v>
      </c>
      <c r="AE108" s="140">
        <f ca="1"/>
        <v>0.12816706055350147</v>
      </c>
      <c r="AH108" s="137"/>
      <c r="AI108" s="137"/>
      <c r="AJ108" s="137"/>
      <c r="AK108" s="137"/>
      <c r="AM108" s="137"/>
      <c r="AN108" s="137"/>
      <c r="AO108" s="137"/>
      <c r="AQ108" s="137"/>
      <c r="AR108" s="137"/>
      <c r="AS108" s="137"/>
      <c r="AT108" s="137"/>
      <c r="AV108" s="137"/>
      <c r="AW108" s="137"/>
      <c r="AX108" s="137"/>
    </row>
    <row r="109" spans="1:50" s="79" customFormat="1" ht="10.199999999999999" x14ac:dyDescent="0.2">
      <c r="A109" s="97">
        <f t="shared" ca="1" si="3"/>
        <v>98</v>
      </c>
      <c r="B109" s="68" t="s">
        <v>186</v>
      </c>
      <c r="C109" s="98">
        <v>0.4</v>
      </c>
      <c r="D109" s="69" t="s">
        <v>66</v>
      </c>
      <c r="E109" s="138" t="s">
        <v>87</v>
      </c>
      <c r="F109" s="158">
        <v>4.0000000000000002E-4</v>
      </c>
      <c r="G109" s="158">
        <v>8.9999999999999998E-4</v>
      </c>
      <c r="H109" s="158">
        <v>1.4E-3</v>
      </c>
      <c r="I109" s="158">
        <v>1.6999999999999999E-3</v>
      </c>
      <c r="J109" s="158" t="s">
        <v>87</v>
      </c>
      <c r="K109" s="158">
        <v>2.5000000000000001E-3</v>
      </c>
      <c r="L109" s="158">
        <v>2.8999999999999998E-3</v>
      </c>
      <c r="M109" s="158">
        <v>3.3999999999999998E-3</v>
      </c>
      <c r="N109" s="139" cm="1">
        <f t="array" aca="1" ref="N109:AE109" ca="1">IF(OR(B109="",NOT($J$2)),"",GetStripDefaultProbability(A109,B109,Parameter_Date,CDSRollDate,E109:M109,SpreadCurveMaturities,D109,C109,$J$4,$J$6))</f>
        <v>0</v>
      </c>
      <c r="O109" s="165">
        <f ca="1"/>
        <v>3.7321455535799242E-4</v>
      </c>
      <c r="P109" s="165">
        <f ca="1"/>
        <v>1.5988606883324818E-3</v>
      </c>
      <c r="Q109" s="165">
        <f ca="1"/>
        <v>4.863427124660813E-3</v>
      </c>
      <c r="R109" s="165">
        <f ca="1"/>
        <v>8.7988721979794793E-3</v>
      </c>
      <c r="S109" s="165">
        <f ca="1"/>
        <v>0</v>
      </c>
      <c r="T109" s="165">
        <f ca="1"/>
        <v>2.1631884061536488E-2</v>
      </c>
      <c r="U109" s="165">
        <f ca="1"/>
        <v>3.5028077174685812E-2</v>
      </c>
      <c r="V109" s="140">
        <f ca="1"/>
        <v>5.8720021316694515E-2</v>
      </c>
      <c r="W109" s="139">
        <f ca="1"/>
        <v>0</v>
      </c>
      <c r="X109" s="165">
        <f ca="1"/>
        <v>4.6649612398852458E-4</v>
      </c>
      <c r="Y109" s="165">
        <f ca="1"/>
        <v>1.7652470123107333E-3</v>
      </c>
      <c r="Z109" s="165">
        <f ca="1"/>
        <v>5.1950840363904627E-3</v>
      </c>
      <c r="AA109" s="165">
        <f ca="1"/>
        <v>9.2943488823814535E-3</v>
      </c>
      <c r="AB109" s="165">
        <f ca="1"/>
        <v>0</v>
      </c>
      <c r="AC109" s="165">
        <f ca="1"/>
        <v>2.2688545903866597E-2</v>
      </c>
      <c r="AD109" s="165">
        <f ca="1"/>
        <v>3.6738454150802236E-2</v>
      </c>
      <c r="AE109" s="140">
        <f ca="1"/>
        <v>6.1562239847408828E-2</v>
      </c>
      <c r="AH109" s="137"/>
      <c r="AI109" s="137"/>
      <c r="AJ109" s="137"/>
      <c r="AK109" s="137"/>
      <c r="AM109" s="137"/>
      <c r="AN109" s="137"/>
      <c r="AO109" s="137"/>
      <c r="AQ109" s="137"/>
      <c r="AR109" s="137"/>
      <c r="AS109" s="137"/>
      <c r="AT109" s="137"/>
      <c r="AV109" s="137"/>
      <c r="AW109" s="137"/>
      <c r="AX109" s="137"/>
    </row>
    <row r="110" spans="1:50" s="79" customFormat="1" ht="10.199999999999999" x14ac:dyDescent="0.2">
      <c r="A110" s="97">
        <f t="shared" ca="1" si="3"/>
        <v>99</v>
      </c>
      <c r="B110" s="68" t="s">
        <v>187</v>
      </c>
      <c r="C110" s="98">
        <v>0.4</v>
      </c>
      <c r="D110" s="69" t="s">
        <v>66</v>
      </c>
      <c r="E110" s="138" t="s">
        <v>87</v>
      </c>
      <c r="F110" s="158">
        <v>8.0000000000000004E-4</v>
      </c>
      <c r="G110" s="158">
        <v>8.0000000000000004E-4</v>
      </c>
      <c r="H110" s="158">
        <v>1.6999999999999999E-3</v>
      </c>
      <c r="I110" s="158">
        <v>2.3E-3</v>
      </c>
      <c r="J110" s="158" t="s">
        <v>87</v>
      </c>
      <c r="K110" s="158">
        <v>4.1999999999999997E-3</v>
      </c>
      <c r="L110" s="158">
        <v>5.3E-3</v>
      </c>
      <c r="M110" s="158">
        <v>6.4999999999999997E-3</v>
      </c>
      <c r="N110" s="139" cm="1">
        <f t="array" aca="1" ref="N110:AE110" ca="1">IF(OR(B110="",NOT($J$2)),"",GetStripDefaultProbability(A110,B110,Parameter_Date,CDSRollDate,E110:M110,SpreadCurveMaturities,D110,C110,$J$4,$J$6))</f>
        <v>0</v>
      </c>
      <c r="O110" s="165">
        <f ca="1"/>
        <v>7.4629011945415158E-4</v>
      </c>
      <c r="P110" s="165">
        <f ca="1"/>
        <v>1.4110765707133766E-3</v>
      </c>
      <c r="Q110" s="165">
        <f ca="1"/>
        <v>5.9141867916747692E-3</v>
      </c>
      <c r="R110" s="165">
        <f ca="1"/>
        <v>1.1942723872169769E-2</v>
      </c>
      <c r="S110" s="165">
        <f ca="1"/>
        <v>0</v>
      </c>
      <c r="T110" s="165">
        <f ca="1"/>
        <v>3.653274404356166E-2</v>
      </c>
      <c r="U110" s="165">
        <f ca="1"/>
        <v>6.4209852061327899E-2</v>
      </c>
      <c r="V110" s="140">
        <f ca="1"/>
        <v>0.11156605248566709</v>
      </c>
      <c r="W110" s="139">
        <f ca="1"/>
        <v>0</v>
      </c>
      <c r="X110" s="165">
        <f ca="1"/>
        <v>8.3953601351138829E-4</v>
      </c>
      <c r="Y110" s="165">
        <f ca="1"/>
        <v>1.5774941894265426E-3</v>
      </c>
      <c r="Z110" s="165">
        <f ca="1"/>
        <v>6.2454935085528573E-3</v>
      </c>
      <c r="AA110" s="165">
        <f ca="1"/>
        <v>1.2530092776156021E-2</v>
      </c>
      <c r="AB110" s="165">
        <f ca="1"/>
        <v>0</v>
      </c>
      <c r="AC110" s="165">
        <f ca="1"/>
        <v>3.8323610180284073E-2</v>
      </c>
      <c r="AD110" s="165">
        <f ca="1"/>
        <v>6.7329968170557253E-2</v>
      </c>
      <c r="AE110" s="140">
        <f ca="1"/>
        <v>0.11689587412079461</v>
      </c>
      <c r="AH110" s="137"/>
      <c r="AI110" s="137"/>
      <c r="AJ110" s="137"/>
      <c r="AK110" s="137"/>
      <c r="AM110" s="137"/>
      <c r="AN110" s="137"/>
      <c r="AO110" s="137"/>
      <c r="AQ110" s="137"/>
      <c r="AR110" s="137"/>
      <c r="AS110" s="137"/>
      <c r="AT110" s="137"/>
      <c r="AV110" s="137"/>
      <c r="AW110" s="137"/>
      <c r="AX110" s="137"/>
    </row>
    <row r="111" spans="1:50" s="79" customFormat="1" ht="10.199999999999999" x14ac:dyDescent="0.2">
      <c r="A111" s="97">
        <f t="shared" ca="1" si="3"/>
        <v>100</v>
      </c>
      <c r="B111" s="68" t="s">
        <v>188</v>
      </c>
      <c r="C111" s="98">
        <v>0.4</v>
      </c>
      <c r="D111" s="69" t="s">
        <v>66</v>
      </c>
      <c r="E111" s="138" t="s">
        <v>87</v>
      </c>
      <c r="F111" s="158">
        <v>1.6000000000000001E-3</v>
      </c>
      <c r="G111" s="158">
        <v>1.9E-3</v>
      </c>
      <c r="H111" s="158">
        <v>2.3999999999999998E-3</v>
      </c>
      <c r="I111" s="158">
        <v>2.7000000000000001E-3</v>
      </c>
      <c r="J111" s="158" t="s">
        <v>87</v>
      </c>
      <c r="K111" s="158">
        <v>3.3E-3</v>
      </c>
      <c r="L111" s="158">
        <v>3.65E-3</v>
      </c>
      <c r="M111" s="158">
        <v>4.1000000000000003E-3</v>
      </c>
      <c r="N111" s="139" cm="1">
        <f t="array" aca="1" ref="N111:AE111" ca="1">IF(OR(B111="",NOT($J$2)),"",GetStripDefaultProbability(A111,B111,Parameter_Date,CDSRollDate,E111:M111,SpreadCurveMaturities,D111,C111,$J$4,$J$6))</f>
        <v>0</v>
      </c>
      <c r="O111" s="165">
        <f ca="1"/>
        <v>1.492024584305196E-3</v>
      </c>
      <c r="P111" s="165">
        <f ca="1"/>
        <v>3.3552207236470233E-3</v>
      </c>
      <c r="Q111" s="165">
        <f ca="1"/>
        <v>8.2812379594552343E-3</v>
      </c>
      <c r="R111" s="165">
        <f ca="1"/>
        <v>1.3862485869421737E-2</v>
      </c>
      <c r="S111" s="165">
        <f ca="1"/>
        <v>0</v>
      </c>
      <c r="T111" s="165">
        <f ca="1"/>
        <v>2.8132775782726105E-2</v>
      </c>
      <c r="U111" s="165">
        <f ca="1"/>
        <v>4.3380147595514673E-2</v>
      </c>
      <c r="V111" s="140">
        <f ca="1"/>
        <v>6.9473863844437544E-2</v>
      </c>
      <c r="W111" s="139">
        <f ca="1"/>
        <v>0</v>
      </c>
      <c r="X111" s="165">
        <f ca="1"/>
        <v>1.5851973209364267E-3</v>
      </c>
      <c r="Y111" s="165">
        <f ca="1"/>
        <v>3.5213143453449725E-3</v>
      </c>
      <c r="Z111" s="165">
        <f ca="1"/>
        <v>8.6778461373517857E-3</v>
      </c>
      <c r="AA111" s="165">
        <f ca="1"/>
        <v>1.4551374120964633E-2</v>
      </c>
      <c r="AB111" s="165">
        <f ca="1"/>
        <v>0</v>
      </c>
      <c r="AC111" s="165">
        <f ca="1"/>
        <v>2.952036717635742E-2</v>
      </c>
      <c r="AD111" s="165">
        <f ca="1"/>
        <v>4.5505194271610705E-2</v>
      </c>
      <c r="AE111" s="140">
        <f ca="1"/>
        <v>7.2830049558513354E-2</v>
      </c>
      <c r="AH111" s="137"/>
      <c r="AI111" s="137"/>
      <c r="AJ111" s="137"/>
      <c r="AK111" s="137"/>
      <c r="AM111" s="137"/>
      <c r="AN111" s="137"/>
      <c r="AO111" s="137"/>
      <c r="AQ111" s="137"/>
      <c r="AR111" s="137"/>
      <c r="AS111" s="137"/>
      <c r="AT111" s="137"/>
      <c r="AV111" s="137"/>
      <c r="AW111" s="137"/>
      <c r="AX111" s="137"/>
    </row>
    <row r="112" spans="1:50" s="79" customFormat="1" ht="10.199999999999999" x14ac:dyDescent="0.2">
      <c r="A112" s="97">
        <f t="shared" ca="1" si="3"/>
        <v>101</v>
      </c>
      <c r="B112" s="68" t="s">
        <v>189</v>
      </c>
      <c r="C112" s="98">
        <v>0.4</v>
      </c>
      <c r="D112" s="69" t="s">
        <v>66</v>
      </c>
      <c r="E112" s="138" t="s">
        <v>87</v>
      </c>
      <c r="F112" s="158">
        <v>6.9999999999999999E-4</v>
      </c>
      <c r="G112" s="158">
        <v>1.4E-3</v>
      </c>
      <c r="H112" s="158">
        <v>2.5000000000000001E-3</v>
      </c>
      <c r="I112" s="158">
        <v>3.5999999999999999E-3</v>
      </c>
      <c r="J112" s="158" t="s">
        <v>87</v>
      </c>
      <c r="K112" s="158">
        <v>5.5999999999999999E-3</v>
      </c>
      <c r="L112" s="158">
        <v>7.0000000000000001E-3</v>
      </c>
      <c r="M112" s="158">
        <v>8.6E-3</v>
      </c>
      <c r="N112" s="139" cm="1">
        <f t="array" aca="1" ref="N112:AE112" ca="1">IF(OR(B112="",NOT($J$2)),"",GetStripDefaultProbability(A112,B112,Parameter_Date,CDSRollDate,E112:M112,SpreadCurveMaturities,D112,C112,$J$4,$J$6))</f>
        <v>0</v>
      </c>
      <c r="O112" s="165">
        <f ca="1"/>
        <v>6.5303425461338271E-4</v>
      </c>
      <c r="P112" s="165">
        <f ca="1"/>
        <v>2.4845156425371551E-3</v>
      </c>
      <c r="Q112" s="165">
        <f ca="1"/>
        <v>8.685826777107053E-3</v>
      </c>
      <c r="R112" s="165">
        <f ca="1"/>
        <v>1.867955505454999E-2</v>
      </c>
      <c r="S112" s="165">
        <f ca="1"/>
        <v>0</v>
      </c>
      <c r="T112" s="165">
        <f ca="1"/>
        <v>4.8233858247651362E-2</v>
      </c>
      <c r="U112" s="165">
        <f ca="1"/>
        <v>8.383657160206448E-2</v>
      </c>
      <c r="V112" s="140">
        <f ca="1"/>
        <v>0.1453208232064731</v>
      </c>
      <c r="W112" s="139">
        <f ca="1"/>
        <v>0</v>
      </c>
      <c r="X112" s="165">
        <f ca="1"/>
        <v>7.4628912209839804E-4</v>
      </c>
      <c r="Y112" s="165">
        <f ca="1"/>
        <v>2.6507543696420166E-3</v>
      </c>
      <c r="Z112" s="165">
        <f ca="1"/>
        <v>9.0987883096406152E-3</v>
      </c>
      <c r="AA112" s="165">
        <f ca="1"/>
        <v>1.9604228637601806E-2</v>
      </c>
      <c r="AB112" s="165">
        <f ca="1"/>
        <v>0</v>
      </c>
      <c r="AC112" s="165">
        <f ca="1"/>
        <v>5.0591663770621853E-2</v>
      </c>
      <c r="AD112" s="165">
        <f ca="1"/>
        <v>8.7878843567888221E-2</v>
      </c>
      <c r="AE112" s="140">
        <f ca="1"/>
        <v>0.1521665635865842</v>
      </c>
      <c r="AH112" s="137"/>
      <c r="AI112" s="137"/>
      <c r="AJ112" s="137"/>
      <c r="AK112" s="137"/>
      <c r="AM112" s="137"/>
      <c r="AN112" s="137"/>
      <c r="AO112" s="137"/>
      <c r="AQ112" s="137"/>
      <c r="AR112" s="137"/>
      <c r="AS112" s="137"/>
      <c r="AT112" s="137"/>
      <c r="AV112" s="137"/>
      <c r="AW112" s="137"/>
      <c r="AX112" s="137"/>
    </row>
    <row r="113" spans="1:50" s="79" customFormat="1" ht="10.199999999999999" x14ac:dyDescent="0.2">
      <c r="A113" s="97">
        <f t="shared" ca="1" si="3"/>
        <v>102</v>
      </c>
      <c r="B113" s="68" t="s">
        <v>190</v>
      </c>
      <c r="C113" s="98">
        <v>0.4</v>
      </c>
      <c r="D113" s="69" t="s">
        <v>66</v>
      </c>
      <c r="E113" s="138" t="s">
        <v>87</v>
      </c>
      <c r="F113" s="158">
        <v>1.1999999999999999E-3</v>
      </c>
      <c r="G113" s="158">
        <v>1.6999999999999999E-3</v>
      </c>
      <c r="H113" s="158">
        <v>3.0999999999999999E-3</v>
      </c>
      <c r="I113" s="158">
        <v>4.1000000000000003E-3</v>
      </c>
      <c r="J113" s="158" t="s">
        <v>87</v>
      </c>
      <c r="K113" s="158">
        <v>5.1000000000000004E-3</v>
      </c>
      <c r="L113" s="158">
        <v>6.1000000000000004E-3</v>
      </c>
      <c r="M113" s="158">
        <v>7.7000000000000002E-3</v>
      </c>
      <c r="N113" s="139" cm="1">
        <f t="array" aca="1" ref="N113:AE113" ca="1">IF(OR(B113="",NOT($J$2)),"",GetStripDefaultProbability(A113,B113,Parameter_Date,CDSRollDate,E113:M113,SpreadCurveMaturities,D113,C113,$J$4,$J$6))</f>
        <v>0</v>
      </c>
      <c r="O113" s="165">
        <f ca="1"/>
        <v>1.1192267699196012E-3</v>
      </c>
      <c r="P113" s="165">
        <f ca="1"/>
        <v>3.0080192722674592E-3</v>
      </c>
      <c r="Q113" s="165">
        <f ca="1"/>
        <v>1.0756418184428962E-2</v>
      </c>
      <c r="R113" s="165">
        <f ca="1"/>
        <v>2.1192366476306512E-2</v>
      </c>
      <c r="S113" s="165">
        <f ca="1"/>
        <v>0</v>
      </c>
      <c r="T113" s="165">
        <f ca="1"/>
        <v>4.3455945480852187E-2</v>
      </c>
      <c r="U113" s="165">
        <f ca="1"/>
        <v>7.2498531000796285E-2</v>
      </c>
      <c r="V113" s="140">
        <f ca="1"/>
        <v>0.13052180122594303</v>
      </c>
      <c r="W113" s="139">
        <f ca="1"/>
        <v>0</v>
      </c>
      <c r="X113" s="165">
        <f ca="1"/>
        <v>1.2124363949111983E-3</v>
      </c>
      <c r="Y113" s="165">
        <f ca="1"/>
        <v>3.1741707560468679E-3</v>
      </c>
      <c r="Z113" s="165">
        <f ca="1"/>
        <v>1.129011763445853E-2</v>
      </c>
      <c r="AA113" s="165">
        <f ca="1"/>
        <v>2.2241103424732511E-2</v>
      </c>
      <c r="AB113" s="165">
        <f ca="1"/>
        <v>0</v>
      </c>
      <c r="AC113" s="165">
        <f ca="1"/>
        <v>4.5582680744197024E-2</v>
      </c>
      <c r="AD113" s="165">
        <f ca="1"/>
        <v>7.6004348644813091E-2</v>
      </c>
      <c r="AE113" s="140">
        <f ca="1"/>
        <v>0.13670551460719038</v>
      </c>
      <c r="AH113" s="137"/>
      <c r="AI113" s="137"/>
      <c r="AJ113" s="137"/>
      <c r="AK113" s="137"/>
      <c r="AM113" s="137"/>
      <c r="AN113" s="137"/>
      <c r="AO113" s="137"/>
      <c r="AQ113" s="137"/>
      <c r="AR113" s="137"/>
      <c r="AS113" s="137"/>
      <c r="AT113" s="137"/>
      <c r="AV113" s="137"/>
      <c r="AW113" s="137"/>
      <c r="AX113" s="137"/>
    </row>
    <row r="114" spans="1:50" s="79" customFormat="1" ht="10.199999999999999" x14ac:dyDescent="0.2">
      <c r="A114" s="97">
        <f t="shared" ca="1" si="3"/>
        <v>103</v>
      </c>
      <c r="B114" s="68" t="s">
        <v>191</v>
      </c>
      <c r="C114" s="98">
        <v>0.4</v>
      </c>
      <c r="D114" s="69" t="s">
        <v>66</v>
      </c>
      <c r="E114" s="138" t="s">
        <v>87</v>
      </c>
      <c r="F114" s="158">
        <v>1.8E-3</v>
      </c>
      <c r="G114" s="158">
        <v>2.0999999999999999E-3</v>
      </c>
      <c r="H114" s="158">
        <v>2.3E-3</v>
      </c>
      <c r="I114" s="158">
        <v>2.7000000000000001E-3</v>
      </c>
      <c r="J114" s="158" t="s">
        <v>87</v>
      </c>
      <c r="K114" s="158">
        <v>3.8E-3</v>
      </c>
      <c r="L114" s="158">
        <v>4.5999999999999999E-3</v>
      </c>
      <c r="M114" s="158">
        <v>5.7000000000000002E-3</v>
      </c>
      <c r="N114" s="139" cm="1">
        <f t="array" aca="1" ref="N114:AE114" ca="1">IF(OR(B114="",NOT($J$2)),"",GetStripDefaultProbability(A114,B114,Parameter_Date,CDSRollDate,E114:M114,SpreadCurveMaturities,D114,C114,$J$4,$J$6))</f>
        <v>0</v>
      </c>
      <c r="O114" s="165">
        <f ca="1"/>
        <v>1.6783714522135007E-3</v>
      </c>
      <c r="P114" s="165">
        <f ca="1"/>
        <v>3.7070431481559529E-3</v>
      </c>
      <c r="Q114" s="165">
        <f ca="1"/>
        <v>7.9130791707353598E-3</v>
      </c>
      <c r="R114" s="165">
        <f ca="1"/>
        <v>1.3861632103653543E-2</v>
      </c>
      <c r="S114" s="165">
        <f ca="1"/>
        <v>0</v>
      </c>
      <c r="T114" s="165">
        <f ca="1"/>
        <v>3.2589575198175624E-2</v>
      </c>
      <c r="U114" s="165">
        <f ca="1"/>
        <v>5.5190699692642786E-2</v>
      </c>
      <c r="V114" s="140">
        <f ca="1"/>
        <v>9.7762617954376574E-2</v>
      </c>
      <c r="W114" s="139">
        <f ca="1"/>
        <v>0</v>
      </c>
      <c r="X114" s="165">
        <f ca="1"/>
        <v>1.7715255047110468E-3</v>
      </c>
      <c r="Y114" s="165">
        <f ca="1"/>
        <v>3.8813791607569259E-3</v>
      </c>
      <c r="Z114" s="165">
        <f ca="1"/>
        <v>8.2933062755312648E-3</v>
      </c>
      <c r="AA114" s="165">
        <f ca="1"/>
        <v>1.4550982569144111E-2</v>
      </c>
      <c r="AB114" s="165">
        <f ca="1"/>
        <v>0</v>
      </c>
      <c r="AC114" s="165">
        <f ca="1"/>
        <v>3.4194991943796826E-2</v>
      </c>
      <c r="AD114" s="165">
        <f ca="1"/>
        <v>5.7884634523856948E-2</v>
      </c>
      <c r="AE114" s="140">
        <f ca="1"/>
        <v>0.1024611228312533</v>
      </c>
      <c r="AH114" s="137"/>
      <c r="AI114" s="137"/>
      <c r="AJ114" s="137"/>
      <c r="AK114" s="137"/>
      <c r="AM114" s="137"/>
      <c r="AN114" s="137"/>
      <c r="AO114" s="137"/>
      <c r="AQ114" s="137"/>
      <c r="AR114" s="137"/>
      <c r="AS114" s="137"/>
      <c r="AT114" s="137"/>
      <c r="AV114" s="137"/>
      <c r="AW114" s="137"/>
      <c r="AX114" s="137"/>
    </row>
    <row r="115" spans="1:50" s="79" customFormat="1" ht="10.199999999999999" x14ac:dyDescent="0.2">
      <c r="A115" s="97">
        <f t="shared" ca="1" si="3"/>
        <v>104</v>
      </c>
      <c r="B115" s="68" t="s">
        <v>192</v>
      </c>
      <c r="C115" s="98">
        <v>0.4</v>
      </c>
      <c r="D115" s="69" t="s">
        <v>66</v>
      </c>
      <c r="E115" s="138" t="s">
        <v>87</v>
      </c>
      <c r="F115" s="158">
        <v>5.9999999999999995E-4</v>
      </c>
      <c r="G115" s="158">
        <v>8.0000000000000004E-4</v>
      </c>
      <c r="H115" s="158">
        <v>1.4E-3</v>
      </c>
      <c r="I115" s="158">
        <v>1.9E-3</v>
      </c>
      <c r="J115" s="158" t="s">
        <v>87</v>
      </c>
      <c r="K115" s="158">
        <v>3.0000000000000001E-3</v>
      </c>
      <c r="L115" s="158">
        <v>3.7000000000000002E-3</v>
      </c>
      <c r="M115" s="158">
        <v>4.8999999999999998E-3</v>
      </c>
      <c r="N115" s="139" cm="1">
        <f t="array" aca="1" ref="N115:AE115" ca="1">IF(OR(B115="",NOT($J$2)),"",GetStripDefaultProbability(A115,B115,Parameter_Date,CDSRollDate,E115:M115,SpreadCurveMaturities,D115,C115,$J$4,$J$6))</f>
        <v>0</v>
      </c>
      <c r="O115" s="165">
        <f ca="1"/>
        <v>5.5976970645477131E-4</v>
      </c>
      <c r="P115" s="165">
        <f ca="1"/>
        <v>1.4156757691393684E-3</v>
      </c>
      <c r="Q115" s="165">
        <f ca="1"/>
        <v>4.8649453632734208E-3</v>
      </c>
      <c r="R115" s="165">
        <f ca="1"/>
        <v>9.8665374352625568E-3</v>
      </c>
      <c r="S115" s="165">
        <f ca="1"/>
        <v>0</v>
      </c>
      <c r="T115" s="165">
        <f ca="1"/>
        <v>2.6035006070425748E-2</v>
      </c>
      <c r="U115" s="165">
        <f ca="1"/>
        <v>4.4896123377750508E-2</v>
      </c>
      <c r="V115" s="140">
        <f ca="1"/>
        <v>8.5565128813319902E-2</v>
      </c>
      <c r="W115" s="139">
        <f ca="1"/>
        <v>0</v>
      </c>
      <c r="X115" s="165">
        <f ca="1"/>
        <v>6.5303351059242676E-4</v>
      </c>
      <c r="Y115" s="165">
        <f ca="1"/>
        <v>1.582092621382758E-3</v>
      </c>
      <c r="Z115" s="165">
        <f ca="1"/>
        <v>5.1966017690152633E-3</v>
      </c>
      <c r="AA115" s="165">
        <f ca="1"/>
        <v>1.0361480420473579E-2</v>
      </c>
      <c r="AB115" s="165">
        <f ca="1"/>
        <v>0</v>
      </c>
      <c r="AC115" s="165">
        <f ca="1"/>
        <v>2.7311187136492721E-2</v>
      </c>
      <c r="AD115" s="165">
        <f ca="1"/>
        <v>4.708833001830981E-2</v>
      </c>
      <c r="AE115" s="140">
        <f ca="1"/>
        <v>8.969672242544291E-2</v>
      </c>
      <c r="AH115" s="137"/>
      <c r="AI115" s="137"/>
      <c r="AJ115" s="137"/>
      <c r="AK115" s="137"/>
      <c r="AM115" s="137"/>
      <c r="AN115" s="137"/>
      <c r="AO115" s="137"/>
      <c r="AQ115" s="137"/>
      <c r="AR115" s="137"/>
      <c r="AS115" s="137"/>
      <c r="AT115" s="137"/>
      <c r="AV115" s="137"/>
      <c r="AW115" s="137"/>
      <c r="AX115" s="137"/>
    </row>
    <row r="116" spans="1:50" s="79" customFormat="1" ht="10.199999999999999" x14ac:dyDescent="0.2">
      <c r="A116" s="97">
        <f t="shared" ca="1" si="3"/>
        <v>105</v>
      </c>
      <c r="B116" s="68" t="s">
        <v>193</v>
      </c>
      <c r="C116" s="98">
        <v>0.4</v>
      </c>
      <c r="D116" s="69" t="s">
        <v>66</v>
      </c>
      <c r="E116" s="138" t="s">
        <v>87</v>
      </c>
      <c r="F116" s="158">
        <v>8.9999999999999998E-4</v>
      </c>
      <c r="G116" s="158">
        <v>1E-3</v>
      </c>
      <c r="H116" s="158">
        <v>1.8E-3</v>
      </c>
      <c r="I116" s="158">
        <v>2.0999999999999999E-3</v>
      </c>
      <c r="J116" s="158" t="s">
        <v>87</v>
      </c>
      <c r="K116" s="158">
        <v>3.3E-3</v>
      </c>
      <c r="L116" s="158">
        <v>4.1000000000000003E-3</v>
      </c>
      <c r="M116" s="158">
        <v>5.1999999999999998E-3</v>
      </c>
      <c r="N116" s="139" cm="1">
        <f t="array" aca="1" ref="N116:AE116" ca="1">IF(OR(B116="",NOT($J$2)),"",GetStripDefaultProbability(A116,B116,Parameter_Date,CDSRollDate,E116:M116,SpreadCurveMaturities,D116,C116,$J$4,$J$6))</f>
        <v>0</v>
      </c>
      <c r="O116" s="165">
        <f ca="1"/>
        <v>8.3953730218899736E-4</v>
      </c>
      <c r="P116" s="165">
        <f ca="1"/>
        <v>1.765850083084719E-3</v>
      </c>
      <c r="Q116" s="165">
        <f ca="1"/>
        <v>6.2504106149121608E-3</v>
      </c>
      <c r="R116" s="165">
        <f ca="1"/>
        <v>1.0845999945824469E-2</v>
      </c>
      <c r="S116" s="165">
        <f ca="1"/>
        <v>0</v>
      </c>
      <c r="T116" s="165">
        <f ca="1"/>
        <v>2.8550103389746506E-2</v>
      </c>
      <c r="U116" s="165">
        <f ca="1"/>
        <v>4.9630581989767442E-2</v>
      </c>
      <c r="V116" s="140">
        <f ca="1"/>
        <v>9.0097841286418734E-2</v>
      </c>
      <c r="W116" s="139">
        <f ca="1"/>
        <v>0</v>
      </c>
      <c r="X116" s="165">
        <f ca="1"/>
        <v>9.3277418569359671E-4</v>
      </c>
      <c r="Y116" s="165">
        <f ca="1"/>
        <v>1.9322085778153975E-3</v>
      </c>
      <c r="Z116" s="165">
        <f ca="1"/>
        <v>6.5816052758608246E-3</v>
      </c>
      <c r="AA116" s="165">
        <f ca="1"/>
        <v>1.1365169501938888E-2</v>
      </c>
      <c r="AB116" s="165">
        <f ca="1"/>
        <v>0</v>
      </c>
      <c r="AC116" s="165">
        <f ca="1"/>
        <v>2.995513453905152E-2</v>
      </c>
      <c r="AD116" s="165">
        <f ca="1"/>
        <v>5.2056397618486905E-2</v>
      </c>
      <c r="AE116" s="140">
        <f ca="1"/>
        <v>9.444287381318861E-2</v>
      </c>
      <c r="AH116" s="137"/>
      <c r="AI116" s="137"/>
      <c r="AJ116" s="137"/>
      <c r="AK116" s="137"/>
      <c r="AM116" s="137"/>
      <c r="AN116" s="137"/>
      <c r="AO116" s="137"/>
      <c r="AQ116" s="137"/>
      <c r="AR116" s="137"/>
      <c r="AS116" s="137"/>
      <c r="AT116" s="137"/>
      <c r="AV116" s="137"/>
      <c r="AW116" s="137"/>
      <c r="AX116" s="137"/>
    </row>
    <row r="117" spans="1:50" s="79" customFormat="1" ht="10.199999999999999" x14ac:dyDescent="0.2">
      <c r="A117" s="97">
        <f t="shared" ca="1" si="3"/>
        <v>106</v>
      </c>
      <c r="B117" s="68" t="s">
        <v>194</v>
      </c>
      <c r="C117" s="98">
        <v>0.4</v>
      </c>
      <c r="D117" s="69" t="s">
        <v>66</v>
      </c>
      <c r="E117" s="138" t="s">
        <v>87</v>
      </c>
      <c r="F117" s="158">
        <v>5.0000000000000001E-4</v>
      </c>
      <c r="G117" s="158">
        <v>6.9999999999999999E-4</v>
      </c>
      <c r="H117" s="158">
        <v>1.1999999999999999E-3</v>
      </c>
      <c r="I117" s="158">
        <v>1.8E-3</v>
      </c>
      <c r="J117" s="158" t="s">
        <v>87</v>
      </c>
      <c r="K117" s="158">
        <v>2.8999999999999998E-3</v>
      </c>
      <c r="L117" s="158">
        <v>3.5000000000000001E-3</v>
      </c>
      <c r="M117" s="158">
        <v>4.7000000000000002E-3</v>
      </c>
      <c r="N117" s="139" cm="1">
        <f t="array" aca="1" ref="N117:AE117" ca="1">IF(OR(B117="",NOT($J$2)),"",GetStripDefaultProbability(A117,B117,Parameter_Date,CDSRollDate,E117:M117,SpreadCurveMaturities,D117,C117,$J$4,$J$6))</f>
        <v>0</v>
      </c>
      <c r="O117" s="165">
        <f ca="1"/>
        <v>4.6649647376628689E-4</v>
      </c>
      <c r="P117" s="165">
        <f ca="1"/>
        <v>1.2393840374057552E-3</v>
      </c>
      <c r="Q117" s="165">
        <f ca="1"/>
        <v>4.170493239837092E-3</v>
      </c>
      <c r="R117" s="165">
        <f ca="1"/>
        <v>9.3750564254325708E-3</v>
      </c>
      <c r="S117" s="165">
        <f ca="1"/>
        <v>0</v>
      </c>
      <c r="T117" s="165">
        <f ca="1"/>
        <v>2.5221921483341125E-2</v>
      </c>
      <c r="U117" s="165">
        <f ca="1"/>
        <v>4.2474338076779583E-2</v>
      </c>
      <c r="V117" s="140">
        <f ca="1"/>
        <v>8.2305587131993874E-2</v>
      </c>
      <c r="W117" s="139">
        <f ca="1"/>
        <v>0</v>
      </c>
      <c r="X117" s="165">
        <f ca="1"/>
        <v>5.5976917815403482E-4</v>
      </c>
      <c r="Y117" s="165">
        <f ca="1"/>
        <v>1.4058302691598579E-3</v>
      </c>
      <c r="Z117" s="165">
        <f ca="1"/>
        <v>4.5023810910260753E-3</v>
      </c>
      <c r="AA117" s="165">
        <f ca="1"/>
        <v>9.8702450897376615E-3</v>
      </c>
      <c r="AB117" s="165">
        <f ca="1"/>
        <v>0</v>
      </c>
      <c r="AC117" s="165">
        <f ca="1"/>
        <v>2.6454495214033757E-2</v>
      </c>
      <c r="AD117" s="165">
        <f ca="1"/>
        <v>4.4545757855139478E-2</v>
      </c>
      <c r="AE117" s="140">
        <f ca="1"/>
        <v>8.6257196366823274E-2</v>
      </c>
      <c r="AH117" s="137"/>
      <c r="AI117" s="137"/>
      <c r="AJ117" s="137"/>
      <c r="AK117" s="137"/>
      <c r="AM117" s="137"/>
      <c r="AN117" s="137"/>
      <c r="AO117" s="137"/>
      <c r="AQ117" s="137"/>
      <c r="AR117" s="137"/>
      <c r="AS117" s="137"/>
      <c r="AT117" s="137"/>
      <c r="AV117" s="137"/>
      <c r="AW117" s="137"/>
      <c r="AX117" s="137"/>
    </row>
    <row r="118" spans="1:50" s="79" customFormat="1" ht="10.199999999999999" x14ac:dyDescent="0.2">
      <c r="A118" s="97">
        <f t="shared" ca="1" si="3"/>
        <v>107</v>
      </c>
      <c r="B118" s="68" t="s">
        <v>195</v>
      </c>
      <c r="C118" s="98">
        <v>0.4</v>
      </c>
      <c r="D118" s="69" t="s">
        <v>66</v>
      </c>
      <c r="E118" s="138" t="s">
        <v>87</v>
      </c>
      <c r="F118" s="158">
        <v>2.0000000000000001E-4</v>
      </c>
      <c r="G118" s="158">
        <v>5.0000000000000001E-4</v>
      </c>
      <c r="H118" s="158">
        <v>1E-3</v>
      </c>
      <c r="I118" s="158">
        <v>1.5E-3</v>
      </c>
      <c r="J118" s="158" t="s">
        <v>87</v>
      </c>
      <c r="K118" s="158">
        <v>2.3E-3</v>
      </c>
      <c r="L118" s="158">
        <v>2.8E-3</v>
      </c>
      <c r="M118" s="158">
        <v>3.5000000000000001E-3</v>
      </c>
      <c r="N118" s="139" cm="1">
        <f t="array" aca="1" ref="N118:AE118" ca="1">IF(OR(B118="",NOT($J$2)),"",GetStripDefaultProbability(A118,B118,Parameter_Date,CDSRollDate,E118:M118,SpreadCurveMaturities,D118,C118,$J$4,$J$6))</f>
        <v>0</v>
      </c>
      <c r="O118" s="165">
        <f ca="1"/>
        <v>1.8662465644081472E-4</v>
      </c>
      <c r="P118" s="165">
        <f ca="1"/>
        <v>8.8898287499306061E-4</v>
      </c>
      <c r="Q118" s="165">
        <f ca="1"/>
        <v>3.4864374832132006E-3</v>
      </c>
      <c r="R118" s="165">
        <f ca="1"/>
        <v>7.827044942145811E-3</v>
      </c>
      <c r="S118" s="165">
        <f ca="1"/>
        <v>0</v>
      </c>
      <c r="T118" s="165">
        <f ca="1"/>
        <v>2.0011494180801392E-2</v>
      </c>
      <c r="U118" s="165">
        <f ca="1"/>
        <v>3.4082253038638655E-2</v>
      </c>
      <c r="V118" s="140">
        <f ca="1"/>
        <v>6.1192260841288371E-2</v>
      </c>
      <c r="W118" s="139">
        <f ca="1"/>
        <v>0</v>
      </c>
      <c r="X118" s="165">
        <f ca="1"/>
        <v>2.799238471393739E-4</v>
      </c>
      <c r="Y118" s="165">
        <f ca="1"/>
        <v>1.0554875020748478E-3</v>
      </c>
      <c r="Z118" s="165">
        <f ca="1"/>
        <v>3.8185533149868167E-3</v>
      </c>
      <c r="AA118" s="165">
        <f ca="1"/>
        <v>8.3230074187307101E-3</v>
      </c>
      <c r="AB118" s="165">
        <f ca="1"/>
        <v>0</v>
      </c>
      <c r="AC118" s="165">
        <f ca="1"/>
        <v>2.0980417082650304E-2</v>
      </c>
      <c r="AD118" s="165">
        <f ca="1"/>
        <v>3.5739102063113037E-2</v>
      </c>
      <c r="AE118" s="140">
        <f ca="1"/>
        <v>6.4145839932770787E-2</v>
      </c>
      <c r="AH118" s="137"/>
      <c r="AI118" s="137"/>
      <c r="AJ118" s="137"/>
      <c r="AK118" s="137"/>
      <c r="AM118" s="137"/>
      <c r="AN118" s="137"/>
      <c r="AO118" s="137"/>
      <c r="AQ118" s="137"/>
      <c r="AR118" s="137"/>
      <c r="AS118" s="137"/>
      <c r="AT118" s="137"/>
      <c r="AV118" s="137"/>
      <c r="AW118" s="137"/>
      <c r="AX118" s="137"/>
    </row>
    <row r="119" spans="1:50" s="79" customFormat="1" ht="10.199999999999999" x14ac:dyDescent="0.2">
      <c r="A119" s="97">
        <f t="shared" ca="1" si="3"/>
        <v>108</v>
      </c>
      <c r="B119" s="68" t="s">
        <v>196</v>
      </c>
      <c r="C119" s="98">
        <v>0.4</v>
      </c>
      <c r="D119" s="69" t="s">
        <v>66</v>
      </c>
      <c r="E119" s="138" t="s">
        <v>87</v>
      </c>
      <c r="F119" s="158">
        <v>5.9999999999999995E-4</v>
      </c>
      <c r="G119" s="158">
        <v>8.9999999999999998E-4</v>
      </c>
      <c r="H119" s="158">
        <v>1.6999999999999999E-3</v>
      </c>
      <c r="I119" s="158">
        <v>2.3999999999999998E-3</v>
      </c>
      <c r="J119" s="158" t="s">
        <v>87</v>
      </c>
      <c r="K119" s="158">
        <v>3.8E-3</v>
      </c>
      <c r="L119" s="158">
        <v>4.8999999999999998E-3</v>
      </c>
      <c r="M119" s="158">
        <v>6.4000000000000003E-3</v>
      </c>
      <c r="N119" s="139" cm="1">
        <f t="array" aca="1" ref="N119:AE119" ca="1">IF(OR(B119="",NOT($J$2)),"",GetStripDefaultProbability(A119,B119,Parameter_Date,CDSRollDate,E119:M119,SpreadCurveMaturities,D119,C119,$J$4,$J$6))</f>
        <v>0</v>
      </c>
      <c r="O119" s="165">
        <f ca="1"/>
        <v>5.5976970645477131E-4</v>
      </c>
      <c r="P119" s="165">
        <f ca="1"/>
        <v>1.5942443069785206E-3</v>
      </c>
      <c r="Q119" s="165">
        <f ca="1"/>
        <v>5.9126507943983997E-3</v>
      </c>
      <c r="R119" s="165">
        <f ca="1"/>
        <v>1.2473545091417848E-2</v>
      </c>
      <c r="S119" s="165">
        <f ca="1"/>
        <v>0</v>
      </c>
      <c r="T119" s="165">
        <f ca="1"/>
        <v>3.2924970844601109E-2</v>
      </c>
      <c r="U119" s="165">
        <f ca="1"/>
        <v>5.9402596506265559E-2</v>
      </c>
      <c r="V119" s="140">
        <f ca="1"/>
        <v>0.11078780682347322</v>
      </c>
      <c r="W119" s="139">
        <f ca="1"/>
        <v>0</v>
      </c>
      <c r="X119" s="165">
        <f ca="1"/>
        <v>6.5303351059242676E-4</v>
      </c>
      <c r="Y119" s="165">
        <f ca="1"/>
        <v>1.7606314002855949E-3</v>
      </c>
      <c r="Z119" s="165">
        <f ca="1"/>
        <v>6.24395802317812E-3</v>
      </c>
      <c r="AA119" s="165">
        <f ca="1"/>
        <v>1.3087298690682925E-2</v>
      </c>
      <c r="AB119" s="165">
        <f ca="1"/>
        <v>0</v>
      </c>
      <c r="AC119" s="165">
        <f ca="1"/>
        <v>3.4540536117186549E-2</v>
      </c>
      <c r="AD119" s="165">
        <f ca="1"/>
        <v>6.2293565961836439E-2</v>
      </c>
      <c r="AE119" s="140">
        <f ca="1"/>
        <v>0.11609194197677297</v>
      </c>
      <c r="AH119" s="137"/>
      <c r="AI119" s="137"/>
      <c r="AJ119" s="137"/>
      <c r="AK119" s="137"/>
      <c r="AM119" s="137"/>
      <c r="AN119" s="137"/>
      <c r="AO119" s="137"/>
      <c r="AQ119" s="137"/>
      <c r="AR119" s="137"/>
      <c r="AS119" s="137"/>
      <c r="AT119" s="137"/>
      <c r="AV119" s="137"/>
      <c r="AW119" s="137"/>
      <c r="AX119" s="137"/>
    </row>
    <row r="120" spans="1:50" s="79" customFormat="1" ht="10.199999999999999" x14ac:dyDescent="0.2">
      <c r="A120" s="97">
        <f t="shared" ca="1" si="3"/>
        <v>109</v>
      </c>
      <c r="B120" s="68" t="s">
        <v>197</v>
      </c>
      <c r="C120" s="98">
        <v>0.4</v>
      </c>
      <c r="D120" s="69" t="s">
        <v>66</v>
      </c>
      <c r="E120" s="138" t="s">
        <v>87</v>
      </c>
      <c r="F120" s="158">
        <v>1.14E-3</v>
      </c>
      <c r="G120" s="158">
        <v>1.64E-3</v>
      </c>
      <c r="H120" s="158">
        <v>2.3600000000000001E-3</v>
      </c>
      <c r="I120" s="158">
        <v>2.9199999999999999E-3</v>
      </c>
      <c r="J120" s="158" t="s">
        <v>87</v>
      </c>
      <c r="K120" s="158">
        <v>4.0000000000000001E-3</v>
      </c>
      <c r="L120" s="158">
        <v>4.4000000000000003E-3</v>
      </c>
      <c r="M120" s="158">
        <v>4.7000000000000002E-3</v>
      </c>
      <c r="N120" s="139" cm="1">
        <f t="array" aca="1" ref="N120:AE120" ca="1">IF(OR(B120="",NOT($J$2)),"",GetStripDefaultProbability(A120,B120,Parameter_Date,CDSRollDate,E120:M120,SpreadCurveMaturities,D120,C120,$J$4,$J$6))</f>
        <v>0</v>
      </c>
      <c r="O120" s="165">
        <f ca="1"/>
        <v>1.0632951250357792E-3</v>
      </c>
      <c r="P120" s="165">
        <f ca="1"/>
        <v>2.9024013940364135E-3</v>
      </c>
      <c r="Q120" s="165">
        <f ca="1"/>
        <v>8.1688355543854119E-3</v>
      </c>
      <c r="R120" s="165">
        <f ca="1"/>
        <v>1.5066297382759553E-2</v>
      </c>
      <c r="S120" s="165">
        <f ca="1"/>
        <v>0</v>
      </c>
      <c r="T120" s="165">
        <f ca="1"/>
        <v>3.4318059674604329E-2</v>
      </c>
      <c r="U120" s="165">
        <f ca="1"/>
        <v>5.2365529279201461E-2</v>
      </c>
      <c r="V120" s="140">
        <f ca="1"/>
        <v>7.8889506982015134E-2</v>
      </c>
      <c r="W120" s="139">
        <f ca="1"/>
        <v>0</v>
      </c>
      <c r="X120" s="165">
        <f ca="1"/>
        <v>1.1565102292662166E-3</v>
      </c>
      <c r="Y120" s="165">
        <f ca="1"/>
        <v>3.0685704793246282E-3</v>
      </c>
      <c r="Z120" s="165">
        <f ca="1"/>
        <v>8.5588790988092578E-3</v>
      </c>
      <c r="AA120" s="165">
        <f ca="1"/>
        <v>1.5813529826031014E-2</v>
      </c>
      <c r="AB120" s="165">
        <f ca="1"/>
        <v>0</v>
      </c>
      <c r="AC120" s="165">
        <f ca="1"/>
        <v>3.6005566345499673E-2</v>
      </c>
      <c r="AD120" s="165">
        <f ca="1"/>
        <v>5.4920309460100514E-2</v>
      </c>
      <c r="AE120" s="140">
        <f ca="1"/>
        <v>8.2679306379634387E-2</v>
      </c>
      <c r="AH120" s="137"/>
      <c r="AI120" s="137"/>
      <c r="AJ120" s="137"/>
      <c r="AK120" s="137"/>
      <c r="AM120" s="137"/>
      <c r="AN120" s="137"/>
      <c r="AO120" s="137"/>
      <c r="AQ120" s="137"/>
      <c r="AR120" s="137"/>
      <c r="AS120" s="137"/>
      <c r="AT120" s="137"/>
      <c r="AV120" s="137"/>
      <c r="AW120" s="137"/>
      <c r="AX120" s="137"/>
    </row>
    <row r="121" spans="1:50" s="79" customFormat="1" ht="10.199999999999999" x14ac:dyDescent="0.2">
      <c r="A121" s="97">
        <f t="shared" ca="1" si="3"/>
        <v>110</v>
      </c>
      <c r="B121" s="68" t="s">
        <v>198</v>
      </c>
      <c r="C121" s="98">
        <v>0.4</v>
      </c>
      <c r="D121" s="69" t="s">
        <v>66</v>
      </c>
      <c r="E121" s="138" t="s">
        <v>87</v>
      </c>
      <c r="F121" s="158">
        <v>1.15E-3</v>
      </c>
      <c r="G121" s="158">
        <v>1.81E-3</v>
      </c>
      <c r="H121" s="158">
        <v>2.8E-3</v>
      </c>
      <c r="I121" s="158">
        <v>3.5000000000000001E-3</v>
      </c>
      <c r="J121" s="158" t="s">
        <v>87</v>
      </c>
      <c r="K121" s="158">
        <v>4.5999999999999999E-3</v>
      </c>
      <c r="L121" s="158">
        <v>5.1999999999999998E-3</v>
      </c>
      <c r="M121" s="158">
        <v>5.7000000000000002E-3</v>
      </c>
      <c r="N121" s="139" cm="1">
        <f t="array" aca="1" ref="N121:AE121" ca="1">IF(OR(B121="",NOT($J$2)),"",GetStripDefaultProbability(A121,B121,Parameter_Date,CDSRollDate,E121:M121,SpreadCurveMaturities,D121,C121,$J$4,$J$6))</f>
        <v>0</v>
      </c>
      <c r="O121" s="165">
        <f ca="1"/>
        <v>1.0726172827926206E-3</v>
      </c>
      <c r="P121" s="165">
        <f ca="1"/>
        <v>3.2054338385190118E-3</v>
      </c>
      <c r="Q121" s="165">
        <f ca="1"/>
        <v>9.6996966232281157E-3</v>
      </c>
      <c r="R121" s="165">
        <f ca="1"/>
        <v>1.8058171350699093E-2</v>
      </c>
      <c r="S121" s="165">
        <f ca="1"/>
        <v>0</v>
      </c>
      <c r="T121" s="165">
        <f ca="1"/>
        <v>3.9322979205270614E-2</v>
      </c>
      <c r="U121" s="165">
        <f ca="1"/>
        <v>6.175941837545218E-2</v>
      </c>
      <c r="V121" s="140">
        <f ca="1"/>
        <v>9.551476955441518E-2</v>
      </c>
      <c r="W121" s="139">
        <f ca="1"/>
        <v>0</v>
      </c>
      <c r="X121" s="165">
        <f ca="1"/>
        <v>1.1658314747735599E-3</v>
      </c>
      <c r="Y121" s="165">
        <f ca="1"/>
        <v>3.3715524226098914E-3</v>
      </c>
      <c r="Z121" s="165">
        <f ca="1"/>
        <v>1.0181271226311628E-2</v>
      </c>
      <c r="AA121" s="165">
        <f ca="1"/>
        <v>1.8952764495030916E-2</v>
      </c>
      <c r="AB121" s="165">
        <f ca="1"/>
        <v>0</v>
      </c>
      <c r="AC121" s="165">
        <f ca="1"/>
        <v>4.1251639727773903E-2</v>
      </c>
      <c r="AD121" s="165">
        <f ca="1"/>
        <v>6.4759535862833228E-2</v>
      </c>
      <c r="AE121" s="140">
        <f ca="1"/>
        <v>0.10006637955057651</v>
      </c>
      <c r="AH121" s="137"/>
      <c r="AI121" s="137"/>
      <c r="AJ121" s="137"/>
      <c r="AK121" s="137"/>
      <c r="AM121" s="137"/>
      <c r="AN121" s="137"/>
      <c r="AO121" s="137"/>
      <c r="AQ121" s="137"/>
      <c r="AR121" s="137"/>
      <c r="AS121" s="137"/>
      <c r="AT121" s="137"/>
      <c r="AV121" s="137"/>
      <c r="AW121" s="137"/>
      <c r="AX121" s="137"/>
    </row>
    <row r="122" spans="1:50" s="79" customFormat="1" ht="10.199999999999999" x14ac:dyDescent="0.2">
      <c r="A122" s="97">
        <f t="shared" ca="1" si="3"/>
        <v>111</v>
      </c>
      <c r="B122" s="68" t="s">
        <v>199</v>
      </c>
      <c r="C122" s="98">
        <v>0.4</v>
      </c>
      <c r="D122" s="69" t="s">
        <v>66</v>
      </c>
      <c r="E122" s="138" t="s">
        <v>87</v>
      </c>
      <c r="F122" s="158">
        <v>2.9999999999999997E-4</v>
      </c>
      <c r="G122" s="158">
        <v>2.9999999999999997E-4</v>
      </c>
      <c r="H122" s="158">
        <v>6.9999999999999999E-4</v>
      </c>
      <c r="I122" s="158">
        <v>1E-3</v>
      </c>
      <c r="J122" s="158" t="s">
        <v>87</v>
      </c>
      <c r="K122" s="158">
        <v>1.6999999999999999E-3</v>
      </c>
      <c r="L122" s="158">
        <v>2.2000000000000001E-3</v>
      </c>
      <c r="M122" s="158">
        <v>2.8E-3</v>
      </c>
      <c r="N122" s="139" cm="1">
        <f t="array" aca="1" ref="N122:AE122" ca="1">IF(OR(B122="",NOT($J$2)),"",GetStripDefaultProbability(A122,B122,Parameter_Date,CDSRollDate,E122:M122,SpreadCurveMaturities,D122,C122,$J$4,$J$6))</f>
        <v>0</v>
      </c>
      <c r="O122" s="165">
        <f ca="1"/>
        <v>2.799239499720052E-4</v>
      </c>
      <c r="P122" s="165">
        <f ca="1"/>
        <v>5.2938725556328503E-4</v>
      </c>
      <c r="Q122" s="165">
        <f ca="1"/>
        <v>2.4407513375312995E-3</v>
      </c>
      <c r="R122" s="165">
        <f ca="1"/>
        <v>5.2154625107539987E-3</v>
      </c>
      <c r="S122" s="165">
        <f ca="1"/>
        <v>0</v>
      </c>
      <c r="T122" s="165">
        <f ca="1"/>
        <v>1.4866126788338208E-2</v>
      </c>
      <c r="U122" s="165">
        <f ca="1"/>
        <v>2.7031528851606423E-2</v>
      </c>
      <c r="V122" s="140">
        <f ca="1"/>
        <v>4.9466582671659154E-2</v>
      </c>
      <c r="W122" s="139">
        <f ca="1"/>
        <v>0</v>
      </c>
      <c r="X122" s="165">
        <f ca="1"/>
        <v>3.7321434723358582E-4</v>
      </c>
      <c r="Y122" s="165">
        <f ca="1"/>
        <v>6.9595181026271824E-4</v>
      </c>
      <c r="Z122" s="165">
        <f ca="1"/>
        <v>2.7732156732717117E-3</v>
      </c>
      <c r="AA122" s="165">
        <f ca="1"/>
        <v>5.7127304521369382E-3</v>
      </c>
      <c r="AB122" s="165">
        <f ca="1"/>
        <v>0</v>
      </c>
      <c r="AC122" s="165">
        <f ca="1"/>
        <v>1.5686729717308556E-2</v>
      </c>
      <c r="AD122" s="165">
        <f ca="1"/>
        <v>2.8321483902239208E-2</v>
      </c>
      <c r="AE122" s="140">
        <f ca="1"/>
        <v>5.1840035535314355E-2</v>
      </c>
      <c r="AH122" s="137"/>
      <c r="AI122" s="137"/>
      <c r="AJ122" s="137"/>
      <c r="AK122" s="137"/>
      <c r="AM122" s="137"/>
      <c r="AN122" s="137"/>
      <c r="AO122" s="137"/>
      <c r="AQ122" s="137"/>
      <c r="AR122" s="137"/>
      <c r="AS122" s="137"/>
      <c r="AT122" s="137"/>
      <c r="AV122" s="137"/>
      <c r="AW122" s="137"/>
      <c r="AX122" s="137"/>
    </row>
    <row r="123" spans="1:50" s="79" customFormat="1" ht="10.199999999999999" x14ac:dyDescent="0.2">
      <c r="A123" s="97">
        <f t="shared" ca="1" si="3"/>
        <v>112</v>
      </c>
      <c r="B123" s="68" t="s">
        <v>200</v>
      </c>
      <c r="C123" s="98">
        <v>0.4</v>
      </c>
      <c r="D123" s="69" t="s">
        <v>66</v>
      </c>
      <c r="E123" s="138" t="s">
        <v>87</v>
      </c>
      <c r="F123" s="158">
        <v>6.9999999999999999E-4</v>
      </c>
      <c r="G123" s="158">
        <v>1.1999999999999999E-3</v>
      </c>
      <c r="H123" s="158">
        <v>1.9E-3</v>
      </c>
      <c r="I123" s="158">
        <v>2.5999999999999999E-3</v>
      </c>
      <c r="J123" s="158" t="s">
        <v>87</v>
      </c>
      <c r="K123" s="158">
        <v>3.8E-3</v>
      </c>
      <c r="L123" s="158">
        <v>4.5999999999999999E-3</v>
      </c>
      <c r="M123" s="158">
        <v>5.4999999999999997E-3</v>
      </c>
      <c r="N123" s="139" cm="1">
        <f t="array" aca="1" ref="N123:AE123" ca="1">IF(OR(B123="",NOT($J$2)),"",GetStripDefaultProbability(A123,B123,Parameter_Date,CDSRollDate,E123:M123,SpreadCurveMaturities,D123,C123,$J$4,$J$6))</f>
        <v>0</v>
      </c>
      <c r="O123" s="165">
        <f ca="1"/>
        <v>6.5303425461338271E-4</v>
      </c>
      <c r="P123" s="165">
        <f ca="1"/>
        <v>2.1275283814861101E-3</v>
      </c>
      <c r="Q123" s="165">
        <f ca="1"/>
        <v>6.5936268034140211E-3</v>
      </c>
      <c r="R123" s="165">
        <f ca="1"/>
        <v>1.348246220834326E-2</v>
      </c>
      <c r="S123" s="165">
        <f ca="1"/>
        <v>0</v>
      </c>
      <c r="T123" s="165">
        <f ca="1"/>
        <v>3.2786840118420701E-2</v>
      </c>
      <c r="U123" s="165">
        <f ca="1"/>
        <v>5.5390322436830286E-2</v>
      </c>
      <c r="V123" s="140">
        <f ca="1"/>
        <v>9.4192693637322966E-2</v>
      </c>
      <c r="W123" s="139">
        <f ca="1"/>
        <v>0</v>
      </c>
      <c r="X123" s="165">
        <f ca="1"/>
        <v>7.4628912209839804E-4</v>
      </c>
      <c r="Y123" s="165">
        <f ca="1"/>
        <v>2.2938266015211095E-3</v>
      </c>
      <c r="Z123" s="165">
        <f ca="1"/>
        <v>6.9247070780301678E-3</v>
      </c>
      <c r="AA123" s="165">
        <f ca="1"/>
        <v>1.414877104848955E-2</v>
      </c>
      <c r="AB123" s="165">
        <f ca="1"/>
        <v>0</v>
      </c>
      <c r="AC123" s="165">
        <f ca="1"/>
        <v>3.4397981057916915E-2</v>
      </c>
      <c r="AD123" s="165">
        <f ca="1"/>
        <v>5.8090350619008357E-2</v>
      </c>
      <c r="AE123" s="140">
        <f ca="1"/>
        <v>9.8695026944461861E-2</v>
      </c>
      <c r="AH123" s="137"/>
      <c r="AI123" s="137"/>
      <c r="AJ123" s="137"/>
      <c r="AK123" s="137"/>
      <c r="AM123" s="137"/>
      <c r="AN123" s="137"/>
      <c r="AO123" s="137"/>
      <c r="AQ123" s="137"/>
      <c r="AR123" s="137"/>
      <c r="AS123" s="137"/>
      <c r="AT123" s="137"/>
      <c r="AV123" s="137"/>
      <c r="AW123" s="137"/>
      <c r="AX123" s="137"/>
    </row>
    <row r="124" spans="1:50" s="79" customFormat="1" ht="10.199999999999999" x14ac:dyDescent="0.2">
      <c r="A124" s="97">
        <f t="shared" ca="1" si="3"/>
        <v>113</v>
      </c>
      <c r="B124" s="68" t="s">
        <v>201</v>
      </c>
      <c r="C124" s="98">
        <v>0.4</v>
      </c>
      <c r="D124" s="69" t="s">
        <v>66</v>
      </c>
      <c r="E124" s="138" t="s">
        <v>87</v>
      </c>
      <c r="F124" s="158">
        <v>5.9999999999999995E-4</v>
      </c>
      <c r="G124" s="158">
        <v>8.0000000000000004E-4</v>
      </c>
      <c r="H124" s="158">
        <v>1.4E-3</v>
      </c>
      <c r="I124" s="158">
        <v>2E-3</v>
      </c>
      <c r="J124" s="158" t="s">
        <v>87</v>
      </c>
      <c r="K124" s="158">
        <v>3.0999999999999999E-3</v>
      </c>
      <c r="L124" s="158">
        <v>3.8999999999999998E-3</v>
      </c>
      <c r="M124" s="158">
        <v>4.7000000000000002E-3</v>
      </c>
      <c r="N124" s="139" cm="1">
        <f t="array" aca="1" ref="N124:AE124" ca="1">IF(OR(B124="",NOT($J$2)),"",GetStripDefaultProbability(A124,B124,Parameter_Date,CDSRollDate,E124:M124,SpreadCurveMaturities,D124,C124,$J$4,$J$6))</f>
        <v>0</v>
      </c>
      <c r="O124" s="165">
        <f ca="1"/>
        <v>5.5976970645477131E-4</v>
      </c>
      <c r="P124" s="165">
        <f ca="1"/>
        <v>1.4156757691393684E-3</v>
      </c>
      <c r="Q124" s="165">
        <f ca="1"/>
        <v>4.8649453632734208E-3</v>
      </c>
      <c r="R124" s="165">
        <f ca="1"/>
        <v>1.0399472914828567E-2</v>
      </c>
      <c r="S124" s="165">
        <f ca="1"/>
        <v>0</v>
      </c>
      <c r="T124" s="165">
        <f ca="1"/>
        <v>2.6890390359188276E-2</v>
      </c>
      <c r="U124" s="165">
        <f ca="1"/>
        <v>4.7357856662096354E-2</v>
      </c>
      <c r="V124" s="140">
        <f ca="1"/>
        <v>8.1257213821196994E-2</v>
      </c>
      <c r="W124" s="139">
        <f ca="1"/>
        <v>0</v>
      </c>
      <c r="X124" s="165">
        <f ca="1"/>
        <v>6.5303351059242676E-4</v>
      </c>
      <c r="Y124" s="165">
        <f ca="1"/>
        <v>1.582092621382758E-3</v>
      </c>
      <c r="Z124" s="165">
        <f ca="1"/>
        <v>5.1966017690152633E-3</v>
      </c>
      <c r="AA124" s="165">
        <f ca="1"/>
        <v>1.0894149498928862E-2</v>
      </c>
      <c r="AB124" s="165">
        <f ca="1"/>
        <v>0</v>
      </c>
      <c r="AC124" s="165">
        <f ca="1"/>
        <v>2.8210327690317616E-2</v>
      </c>
      <c r="AD124" s="165">
        <f ca="1"/>
        <v>4.9670691826941615E-2</v>
      </c>
      <c r="AE124" s="140">
        <f ca="1"/>
        <v>8.5163638166544375E-2</v>
      </c>
      <c r="AH124" s="137"/>
      <c r="AI124" s="137"/>
      <c r="AJ124" s="137"/>
      <c r="AK124" s="137"/>
      <c r="AM124" s="137"/>
      <c r="AN124" s="137"/>
      <c r="AO124" s="137"/>
      <c r="AQ124" s="137"/>
      <c r="AR124" s="137"/>
      <c r="AS124" s="137"/>
      <c r="AT124" s="137"/>
      <c r="AV124" s="137"/>
      <c r="AW124" s="137"/>
      <c r="AX124" s="137"/>
    </row>
    <row r="125" spans="1:50" s="79" customFormat="1" ht="10.199999999999999" x14ac:dyDescent="0.2">
      <c r="A125" s="97">
        <f t="shared" ca="1" si="3"/>
        <v>114</v>
      </c>
      <c r="B125" s="68" t="s">
        <v>202</v>
      </c>
      <c r="C125" s="98">
        <v>0.4</v>
      </c>
      <c r="D125" s="69" t="s">
        <v>66</v>
      </c>
      <c r="E125" s="138" t="s">
        <v>87</v>
      </c>
      <c r="F125" s="158">
        <v>2.0999999999999999E-3</v>
      </c>
      <c r="G125" s="158">
        <v>2.0999999999999999E-3</v>
      </c>
      <c r="H125" s="158">
        <v>3.8E-3</v>
      </c>
      <c r="I125" s="158">
        <v>7.1000000000000004E-3</v>
      </c>
      <c r="J125" s="158" t="s">
        <v>87</v>
      </c>
      <c r="K125" s="158">
        <v>9.5999999999999992E-3</v>
      </c>
      <c r="L125" s="158">
        <v>1.15E-2</v>
      </c>
      <c r="M125" s="158">
        <v>1.32E-2</v>
      </c>
      <c r="N125" s="139" cm="1">
        <f t="array" aca="1" ref="N125:AE125" ca="1">IF(OR(B125="",NOT($J$2)),"",GetStripDefaultProbability(A125,B125,Parameter_Date,CDSRollDate,E125:M125,SpreadCurveMaturities,D125,C125,$J$4,$J$6))</f>
        <v>0</v>
      </c>
      <c r="O125" s="165">
        <f ca="1"/>
        <v>1.9578267321976872E-3</v>
      </c>
      <c r="P125" s="165">
        <f ca="1"/>
        <v>3.6998302663483473E-3</v>
      </c>
      <c r="Q125" s="165">
        <f ca="1"/>
        <v>1.315647824198718E-2</v>
      </c>
      <c r="R125" s="165">
        <f ca="1"/>
        <v>3.6855605397078106E-2</v>
      </c>
      <c r="S125" s="165">
        <f ca="1"/>
        <v>0</v>
      </c>
      <c r="T125" s="165">
        <f ca="1"/>
        <v>8.1333540632253842E-2</v>
      </c>
      <c r="U125" s="165">
        <f ca="1"/>
        <v>0.13406512164990947</v>
      </c>
      <c r="V125" s="140">
        <f ca="1"/>
        <v>0.21308755622989306</v>
      </c>
      <c r="W125" s="139">
        <f ca="1"/>
        <v>0</v>
      </c>
      <c r="X125" s="165">
        <f ca="1"/>
        <v>2.0556089014671652E-3</v>
      </c>
      <c r="Y125" s="165">
        <f ca="1"/>
        <v>3.8741675410978171E-3</v>
      </c>
      <c r="Z125" s="165">
        <f ca="1"/>
        <v>1.381082879976836E-2</v>
      </c>
      <c r="AA125" s="165">
        <f ca="1"/>
        <v>3.8673885546328779E-2</v>
      </c>
      <c r="AB125" s="165">
        <f ca="1"/>
        <v>0</v>
      </c>
      <c r="AC125" s="165">
        <f ca="1"/>
        <v>8.5271926629843842E-2</v>
      </c>
      <c r="AD125" s="165">
        <f ca="1"/>
        <v>0.14040240173979035</v>
      </c>
      <c r="AE125" s="140">
        <f ca="1"/>
        <v>0.22274905710346582</v>
      </c>
      <c r="AH125" s="137"/>
      <c r="AI125" s="137"/>
      <c r="AJ125" s="137"/>
      <c r="AK125" s="137"/>
      <c r="AM125" s="137"/>
      <c r="AN125" s="137"/>
      <c r="AO125" s="137"/>
      <c r="AQ125" s="137"/>
      <c r="AR125" s="137"/>
      <c r="AS125" s="137"/>
      <c r="AT125" s="137"/>
      <c r="AV125" s="137"/>
      <c r="AW125" s="137"/>
      <c r="AX125" s="137"/>
    </row>
    <row r="126" spans="1:50" s="79" customFormat="1" ht="10.199999999999999" x14ac:dyDescent="0.2">
      <c r="A126" s="97">
        <f t="shared" ca="1" si="3"/>
        <v>115</v>
      </c>
      <c r="B126" s="68" t="s">
        <v>203</v>
      </c>
      <c r="C126" s="98">
        <v>0.4</v>
      </c>
      <c r="D126" s="69" t="s">
        <v>66</v>
      </c>
      <c r="E126" s="138" t="s">
        <v>87</v>
      </c>
      <c r="F126" s="158">
        <v>1.4E-3</v>
      </c>
      <c r="G126" s="158">
        <v>1.6999999999999999E-3</v>
      </c>
      <c r="H126" s="158">
        <v>3.2000000000000002E-3</v>
      </c>
      <c r="I126" s="158">
        <v>4.4000000000000003E-3</v>
      </c>
      <c r="J126" s="158" t="s">
        <v>87</v>
      </c>
      <c r="K126" s="158">
        <v>6.4000000000000003E-3</v>
      </c>
      <c r="L126" s="158">
        <v>8.0000000000000002E-3</v>
      </c>
      <c r="M126" s="158">
        <v>9.2999999999999992E-3</v>
      </c>
      <c r="N126" s="139" cm="1">
        <f t="array" aca="1" ref="N126:AE126" ca="1">IF(OR(B126="",NOT($J$2)),"",GetStripDefaultProbability(A126,B126,Parameter_Date,CDSRollDate,E126:M126,SpreadCurveMaturities,D126,C126,$J$4,$J$6))</f>
        <v>0</v>
      </c>
      <c r="O126" s="165">
        <f ca="1"/>
        <v>1.3056430267678332E-3</v>
      </c>
      <c r="P126" s="165">
        <f ca="1"/>
        <v>3.0032740747486519E-3</v>
      </c>
      <c r="Q126" s="165">
        <f ca="1"/>
        <v>1.1101589512418353E-2</v>
      </c>
      <c r="R126" s="165">
        <f ca="1"/>
        <v>2.275828992273965E-2</v>
      </c>
      <c r="S126" s="165">
        <f ca="1"/>
        <v>0</v>
      </c>
      <c r="T126" s="165">
        <f ca="1"/>
        <v>5.4779740080628692E-2</v>
      </c>
      <c r="U126" s="165">
        <f ca="1"/>
        <v>9.5180977580251236E-2</v>
      </c>
      <c r="V126" s="140">
        <f ca="1"/>
        <v>0.15487528607533196</v>
      </c>
      <c r="W126" s="139">
        <f ca="1"/>
        <v>0</v>
      </c>
      <c r="X126" s="165">
        <f ca="1"/>
        <v>1.3988342865285386E-3</v>
      </c>
      <c r="Y126" s="165">
        <f ca="1"/>
        <v>3.1694263493249331E-3</v>
      </c>
      <c r="Z126" s="165">
        <f ca="1"/>
        <v>1.1652618731903264E-2</v>
      </c>
      <c r="AA126" s="165">
        <f ca="1"/>
        <v>2.3884322889102694E-2</v>
      </c>
      <c r="AB126" s="165">
        <f ca="1"/>
        <v>0</v>
      </c>
      <c r="AC126" s="165">
        <f ca="1"/>
        <v>5.7449295631518571E-2</v>
      </c>
      <c r="AD126" s="165">
        <f ca="1"/>
        <v>9.9744987513243122E-2</v>
      </c>
      <c r="AE126" s="140">
        <f ca="1"/>
        <v>0.16211811532797649</v>
      </c>
      <c r="AH126" s="137"/>
      <c r="AI126" s="137"/>
      <c r="AJ126" s="137"/>
      <c r="AK126" s="137"/>
      <c r="AM126" s="137"/>
      <c r="AN126" s="137"/>
      <c r="AO126" s="137"/>
      <c r="AQ126" s="137"/>
      <c r="AR126" s="137"/>
      <c r="AS126" s="137"/>
      <c r="AT126" s="137"/>
      <c r="AV126" s="137"/>
      <c r="AW126" s="137"/>
      <c r="AX126" s="137"/>
    </row>
    <row r="127" spans="1:50" s="79" customFormat="1" ht="10.199999999999999" x14ac:dyDescent="0.2">
      <c r="A127" s="97">
        <f t="shared" ca="1" si="3"/>
        <v>116</v>
      </c>
      <c r="B127" s="68" t="s">
        <v>204</v>
      </c>
      <c r="C127" s="98">
        <v>0.4</v>
      </c>
      <c r="D127" s="69" t="s">
        <v>66</v>
      </c>
      <c r="E127" s="138" t="s">
        <v>87</v>
      </c>
      <c r="F127" s="158">
        <v>2.9999999999999997E-4</v>
      </c>
      <c r="G127" s="158">
        <v>5.9999999999999995E-4</v>
      </c>
      <c r="H127" s="158">
        <v>1.1000000000000001E-3</v>
      </c>
      <c r="I127" s="158">
        <v>1.4E-3</v>
      </c>
      <c r="J127" s="158" t="s">
        <v>87</v>
      </c>
      <c r="K127" s="158">
        <v>2.2000000000000001E-3</v>
      </c>
      <c r="L127" s="158">
        <v>2.5999999999999999E-3</v>
      </c>
      <c r="M127" s="158">
        <v>3.0999999999999999E-3</v>
      </c>
      <c r="N127" s="139" cm="1">
        <f t="array" aca="1" ref="N127:AE127" ca="1">IF(OR(B127="",NOT($J$2)),"",GetStripDefaultProbability(A127,B127,Parameter_Date,CDSRollDate,E127:M127,SpreadCurveMaturities,D127,C127,$J$4,$J$6))</f>
        <v>0</v>
      </c>
      <c r="O127" s="165">
        <f ca="1"/>
        <v>2.799239499720052E-4</v>
      </c>
      <c r="P127" s="165">
        <f ca="1"/>
        <v>1.0653449239070856E-3</v>
      </c>
      <c r="Q127" s="165">
        <f ca="1"/>
        <v>3.8296892655734771E-3</v>
      </c>
      <c r="R127" s="165">
        <f ca="1"/>
        <v>7.2685731706825241E-3</v>
      </c>
      <c r="S127" s="165">
        <f ca="1"/>
        <v>0</v>
      </c>
      <c r="T127" s="165">
        <f ca="1"/>
        <v>1.9126433000616561E-2</v>
      </c>
      <c r="U127" s="165">
        <f ca="1"/>
        <v>3.1574650644799029E-2</v>
      </c>
      <c r="V127" s="140">
        <f ca="1"/>
        <v>5.3901221592450588E-2</v>
      </c>
      <c r="W127" s="139">
        <f ca="1"/>
        <v>0</v>
      </c>
      <c r="X127" s="165">
        <f ca="1"/>
        <v>3.7321434723358582E-4</v>
      </c>
      <c r="Y127" s="165">
        <f ca="1"/>
        <v>1.2318201597600886E-3</v>
      </c>
      <c r="Z127" s="165">
        <f ca="1"/>
        <v>4.1616906991819302E-3</v>
      </c>
      <c r="AA127" s="165">
        <f ca="1"/>
        <v>7.7648148133554473E-3</v>
      </c>
      <c r="AB127" s="165">
        <f ca="1"/>
        <v>0</v>
      </c>
      <c r="AC127" s="165">
        <f ca="1"/>
        <v>2.0051137088591298E-2</v>
      </c>
      <c r="AD127" s="165">
        <f ca="1"/>
        <v>3.310864730663865E-2</v>
      </c>
      <c r="AE127" s="140">
        <f ca="1"/>
        <v>5.6506995543376459E-2</v>
      </c>
      <c r="AH127" s="137"/>
      <c r="AI127" s="137"/>
      <c r="AJ127" s="137"/>
      <c r="AK127" s="137"/>
      <c r="AM127" s="137"/>
      <c r="AN127" s="137"/>
      <c r="AO127" s="137"/>
      <c r="AQ127" s="137"/>
      <c r="AR127" s="137"/>
      <c r="AS127" s="137"/>
      <c r="AT127" s="137"/>
      <c r="AV127" s="137"/>
      <c r="AW127" s="137"/>
      <c r="AX127" s="137"/>
    </row>
    <row r="128" spans="1:50" s="79" customFormat="1" ht="10.199999999999999" x14ac:dyDescent="0.2">
      <c r="A128" s="97">
        <f t="shared" ca="1" si="3"/>
        <v>117</v>
      </c>
      <c r="B128" s="68" t="s">
        <v>205</v>
      </c>
      <c r="C128" s="98">
        <v>0.4</v>
      </c>
      <c r="D128" s="69" t="s">
        <v>66</v>
      </c>
      <c r="E128" s="138" t="s">
        <v>87</v>
      </c>
      <c r="F128" s="158">
        <v>5.0000000000000001E-4</v>
      </c>
      <c r="G128" s="158">
        <v>1.1000000000000001E-3</v>
      </c>
      <c r="H128" s="158">
        <v>1.9E-3</v>
      </c>
      <c r="I128" s="158">
        <v>2.5000000000000001E-3</v>
      </c>
      <c r="J128" s="158" t="s">
        <v>87</v>
      </c>
      <c r="K128" s="158">
        <v>3.8E-3</v>
      </c>
      <c r="L128" s="158">
        <v>4.5999999999999999E-3</v>
      </c>
      <c r="M128" s="158">
        <v>5.5999999999999999E-3</v>
      </c>
      <c r="N128" s="139" cm="1">
        <f t="array" aca="1" ref="N128:AE128" ca="1">IF(OR(B128="",NOT($J$2)),"",GetStripDefaultProbability(A128,B128,Parameter_Date,CDSRollDate,E128:M128,SpreadCurveMaturities,D128,C128,$J$4,$J$6))</f>
        <v>0</v>
      </c>
      <c r="O128" s="165">
        <f ca="1"/>
        <v>4.6649647376628689E-4</v>
      </c>
      <c r="P128" s="165">
        <f ca="1"/>
        <v>1.9536614978797884E-3</v>
      </c>
      <c r="Q128" s="165">
        <f ca="1"/>
        <v>6.6047146877553642E-3</v>
      </c>
      <c r="R128" s="165">
        <f ca="1"/>
        <v>1.2961725221885878E-2</v>
      </c>
      <c r="S128" s="165">
        <f ca="1"/>
        <v>0</v>
      </c>
      <c r="T128" s="165">
        <f ca="1"/>
        <v>3.2838903969120037E-2</v>
      </c>
      <c r="U128" s="165">
        <f ca="1"/>
        <v>5.5442856001595153E-2</v>
      </c>
      <c r="V128" s="140">
        <f ca="1"/>
        <v>9.6120721891434058E-2</v>
      </c>
      <c r="W128" s="139">
        <f ca="1"/>
        <v>0</v>
      </c>
      <c r="X128" s="165">
        <f ca="1"/>
        <v>5.5976917815403482E-4</v>
      </c>
      <c r="Y128" s="165">
        <f ca="1"/>
        <v>2.119988693304764E-3</v>
      </c>
      <c r="Z128" s="165">
        <f ca="1"/>
        <v>6.9357912670132693E-3</v>
      </c>
      <c r="AA128" s="165">
        <f ca="1"/>
        <v>1.3601718967954479E-2</v>
      </c>
      <c r="AB128" s="165">
        <f ca="1"/>
        <v>0</v>
      </c>
      <c r="AC128" s="165">
        <f ca="1"/>
        <v>3.445216476015045E-2</v>
      </c>
      <c r="AD128" s="165">
        <f ca="1"/>
        <v>5.8145265919023803E-2</v>
      </c>
      <c r="AE128" s="140">
        <f ca="1"/>
        <v>0.10073794556407534</v>
      </c>
      <c r="AH128" s="137"/>
      <c r="AI128" s="137"/>
      <c r="AJ128" s="137"/>
      <c r="AK128" s="137"/>
      <c r="AM128" s="137"/>
      <c r="AN128" s="137"/>
      <c r="AO128" s="137"/>
      <c r="AQ128" s="137"/>
      <c r="AR128" s="137"/>
      <c r="AS128" s="137"/>
      <c r="AT128" s="137"/>
      <c r="AV128" s="137"/>
      <c r="AW128" s="137"/>
      <c r="AX128" s="137"/>
    </row>
    <row r="129" spans="1:50" s="79" customFormat="1" ht="10.199999999999999" x14ac:dyDescent="0.2">
      <c r="A129" s="97">
        <f t="shared" ca="1" si="3"/>
        <v>118</v>
      </c>
      <c r="B129" s="68" t="s">
        <v>206</v>
      </c>
      <c r="C129" s="98">
        <v>0.4</v>
      </c>
      <c r="D129" s="69" t="s">
        <v>66</v>
      </c>
      <c r="E129" s="138" t="s">
        <v>87</v>
      </c>
      <c r="F129" s="158">
        <v>1E-3</v>
      </c>
      <c r="G129" s="158">
        <v>1.6000000000000001E-3</v>
      </c>
      <c r="H129" s="158">
        <v>2.3999999999999998E-3</v>
      </c>
      <c r="I129" s="158">
        <v>3.0999999999999999E-3</v>
      </c>
      <c r="J129" s="158" t="s">
        <v>87</v>
      </c>
      <c r="K129" s="158">
        <v>5.1999999999999998E-3</v>
      </c>
      <c r="L129" s="158">
        <v>6.3E-3</v>
      </c>
      <c r="M129" s="158">
        <v>7.1999999999999998E-3</v>
      </c>
      <c r="N129" s="139" cm="1">
        <f t="array" aca="1" ref="N129:AE129" ca="1">IF(OR(B129="",NOT($J$2)),"",GetStripDefaultProbability(A129,B129,Parameter_Date,CDSRollDate,E129:M129,SpreadCurveMaturities,D129,C129,$J$4,$J$6))</f>
        <v>0</v>
      </c>
      <c r="O129" s="165">
        <f ca="1"/>
        <v>9.3277580402983951E-4</v>
      </c>
      <c r="P129" s="165">
        <f ca="1"/>
        <v>2.8343480878976202E-3</v>
      </c>
      <c r="Q129" s="165">
        <f ca="1"/>
        <v>8.3150424961720981E-3</v>
      </c>
      <c r="R129" s="165">
        <f ca="1"/>
        <v>1.602167310779945E-2</v>
      </c>
      <c r="S129" s="165">
        <f ca="1"/>
        <v>0</v>
      </c>
      <c r="T129" s="165">
        <f ca="1"/>
        <v>4.4900767361827687E-2</v>
      </c>
      <c r="U129" s="165">
        <f ca="1"/>
        <v>7.5519858339313073E-2</v>
      </c>
      <c r="V129" s="140">
        <f ca="1"/>
        <v>0.12127627736922242</v>
      </c>
      <c r="W129" s="139">
        <f ca="1"/>
        <v>0</v>
      </c>
      <c r="X129" s="165">
        <f ca="1"/>
        <v>1.0260036394392769E-3</v>
      </c>
      <c r="Y129" s="165">
        <f ca="1"/>
        <v>3.000528514470524E-3</v>
      </c>
      <c r="Z129" s="165">
        <f ca="1"/>
        <v>8.7116371549653682E-3</v>
      </c>
      <c r="AA129" s="165">
        <f ca="1"/>
        <v>1.6815899592228623E-2</v>
      </c>
      <c r="AB129" s="165">
        <f ca="1"/>
        <v>0</v>
      </c>
      <c r="AC129" s="165">
        <f ca="1"/>
        <v>4.7099784571728032E-2</v>
      </c>
      <c r="AD129" s="165">
        <f ca="1"/>
        <v>7.9174844362811969E-2</v>
      </c>
      <c r="AE129" s="140">
        <f ca="1"/>
        <v>0.12703130035059851</v>
      </c>
      <c r="AH129" s="137"/>
      <c r="AI129" s="137"/>
      <c r="AJ129" s="137"/>
      <c r="AK129" s="137"/>
      <c r="AM129" s="137"/>
      <c r="AN129" s="137"/>
      <c r="AO129" s="137"/>
      <c r="AQ129" s="137"/>
      <c r="AR129" s="137"/>
      <c r="AS129" s="137"/>
      <c r="AT129" s="137"/>
      <c r="AV129" s="137"/>
      <c r="AW129" s="137"/>
      <c r="AX129" s="137"/>
    </row>
    <row r="130" spans="1:50" s="79" customFormat="1" ht="10.199999999999999" x14ac:dyDescent="0.2">
      <c r="A130" s="97">
        <f t="shared" ca="1" si="3"/>
        <v>119</v>
      </c>
      <c r="B130" s="68" t="s">
        <v>207</v>
      </c>
      <c r="C130" s="98">
        <v>0.4</v>
      </c>
      <c r="D130" s="69" t="s">
        <v>66</v>
      </c>
      <c r="E130" s="138" t="s">
        <v>87</v>
      </c>
      <c r="F130" s="158">
        <v>6.9999999999999999E-4</v>
      </c>
      <c r="G130" s="158">
        <v>1E-3</v>
      </c>
      <c r="H130" s="158">
        <v>1.6999999999999999E-3</v>
      </c>
      <c r="I130" s="158">
        <v>2.3999999999999998E-3</v>
      </c>
      <c r="J130" s="158" t="s">
        <v>87</v>
      </c>
      <c r="K130" s="158">
        <v>3.8E-3</v>
      </c>
      <c r="L130" s="158">
        <v>4.7999999999999996E-3</v>
      </c>
      <c r="M130" s="158">
        <v>6.0000000000000001E-3</v>
      </c>
      <c r="N130" s="139" cm="1">
        <f t="array" aca="1" ref="N130:AE130" ca="1">IF(OR(B130="",NOT($J$2)),"",GetStripDefaultProbability(A130,B130,Parameter_Date,CDSRollDate,E130:M130,SpreadCurveMaturities,D130,C130,$J$4,$J$6))</f>
        <v>0</v>
      </c>
      <c r="O130" s="165">
        <f ca="1"/>
        <v>6.5303425461338271E-4</v>
      </c>
      <c r="P130" s="165">
        <f ca="1"/>
        <v>1.7704818660270183E-3</v>
      </c>
      <c r="Q130" s="165">
        <f ca="1"/>
        <v>5.9040069368653247E-3</v>
      </c>
      <c r="R130" s="165">
        <f ca="1"/>
        <v>1.2464719760502896E-2</v>
      </c>
      <c r="S130" s="165">
        <f ca="1"/>
        <v>0</v>
      </c>
      <c r="T130" s="165">
        <f ca="1"/>
        <v>3.2915806996889008E-2</v>
      </c>
      <c r="U130" s="165">
        <f ca="1"/>
        <v>5.8102767335854844E-2</v>
      </c>
      <c r="V130" s="140">
        <f ca="1"/>
        <v>0.10340599984826604</v>
      </c>
      <c r="W130" s="139">
        <f ca="1"/>
        <v>0</v>
      </c>
      <c r="X130" s="165">
        <f ca="1"/>
        <v>7.4628912209839804E-4</v>
      </c>
      <c r="Y130" s="165">
        <f ca="1"/>
        <v>1.9368395888541556E-3</v>
      </c>
      <c r="Z130" s="165">
        <f ca="1"/>
        <v>6.2353170464828356E-3</v>
      </c>
      <c r="AA130" s="165">
        <f ca="1"/>
        <v>1.3078438650760749E-2</v>
      </c>
      <c r="AB130" s="165">
        <f ca="1"/>
        <v>0</v>
      </c>
      <c r="AC130" s="165">
        <f ca="1"/>
        <v>3.4531321612922605E-2</v>
      </c>
      <c r="AD130" s="165">
        <f ca="1"/>
        <v>6.093177052495502E-2</v>
      </c>
      <c r="AE130" s="140">
        <f ca="1"/>
        <v>0.10836375344201343</v>
      </c>
      <c r="AH130" s="137"/>
      <c r="AI130" s="137"/>
      <c r="AJ130" s="137"/>
      <c r="AK130" s="137"/>
      <c r="AM130" s="137"/>
      <c r="AN130" s="137"/>
      <c r="AO130" s="137"/>
      <c r="AQ130" s="137"/>
      <c r="AR130" s="137"/>
      <c r="AS130" s="137"/>
      <c r="AT130" s="137"/>
      <c r="AV130" s="137"/>
      <c r="AW130" s="137"/>
      <c r="AX130" s="137"/>
    </row>
    <row r="131" spans="1:50" s="79" customFormat="1" ht="10.199999999999999" x14ac:dyDescent="0.2">
      <c r="A131" s="97">
        <f t="shared" ca="1" si="3"/>
        <v>120</v>
      </c>
      <c r="B131" s="68" t="s">
        <v>208</v>
      </c>
      <c r="C131" s="98">
        <v>0.4</v>
      </c>
      <c r="D131" s="69" t="s">
        <v>66</v>
      </c>
      <c r="E131" s="138" t="s">
        <v>87</v>
      </c>
      <c r="F131" s="158">
        <v>1.1000000000000001E-3</v>
      </c>
      <c r="G131" s="158">
        <v>1.5E-3</v>
      </c>
      <c r="H131" s="158">
        <v>1.9E-3</v>
      </c>
      <c r="I131" s="158">
        <v>2.5999999999999999E-3</v>
      </c>
      <c r="J131" s="158" t="s">
        <v>87</v>
      </c>
      <c r="K131" s="158">
        <v>3.8E-3</v>
      </c>
      <c r="L131" s="158">
        <v>4.7000000000000002E-3</v>
      </c>
      <c r="M131" s="158">
        <v>5.7000000000000002E-3</v>
      </c>
      <c r="N131" s="139" cm="1">
        <f t="array" aca="1" ref="N131:AE131" ca="1">IF(OR(B131="",NOT($J$2)),"",GetStripDefaultProbability(A131,B131,Parameter_Date,CDSRollDate,E131:M131,SpreadCurveMaturities,D131,C131,$J$4,$J$6))</f>
        <v>0</v>
      </c>
      <c r="O131" s="165">
        <f ca="1"/>
        <v>1.0260056262103578E-3</v>
      </c>
      <c r="P131" s="165">
        <f ca="1"/>
        <v>2.6535595719868743E-3</v>
      </c>
      <c r="Q131" s="165">
        <f ca="1"/>
        <v>6.5651428785618027E-3</v>
      </c>
      <c r="R131" s="165">
        <f ca="1"/>
        <v>1.345339463577977E-2</v>
      </c>
      <c r="S131" s="165">
        <f ca="1"/>
        <v>0</v>
      </c>
      <c r="T131" s="165">
        <f ca="1"/>
        <v>3.2756879543669348E-2</v>
      </c>
      <c r="U131" s="165">
        <f ca="1"/>
        <v>5.6650793426927581E-2</v>
      </c>
      <c r="V131" s="140">
        <f ca="1"/>
        <v>9.774781966289614E-2</v>
      </c>
      <c r="W131" s="139">
        <f ca="1"/>
        <v>0</v>
      </c>
      <c r="X131" s="165">
        <f ca="1"/>
        <v>1.1192243755654419E-3</v>
      </c>
      <c r="Y131" s="165">
        <f ca="1"/>
        <v>2.8197701274703668E-3</v>
      </c>
      <c r="Z131" s="165">
        <f ca="1"/>
        <v>6.8962326462607138E-3</v>
      </c>
      <c r="AA131" s="165">
        <f ca="1"/>
        <v>1.4119580228031503E-2</v>
      </c>
      <c r="AB131" s="165">
        <f ca="1"/>
        <v>0</v>
      </c>
      <c r="AC131" s="165">
        <f ca="1"/>
        <v>3.4367855670745295E-2</v>
      </c>
      <c r="AD131" s="165">
        <f ca="1"/>
        <v>5.941267375196424E-2</v>
      </c>
      <c r="AE131" s="140">
        <f ca="1"/>
        <v>0.10244193346974007</v>
      </c>
      <c r="AH131" s="137"/>
      <c r="AI131" s="137"/>
      <c r="AJ131" s="137"/>
      <c r="AK131" s="137"/>
      <c r="AM131" s="137"/>
      <c r="AN131" s="137"/>
      <c r="AO131" s="137"/>
      <c r="AQ131" s="137"/>
      <c r="AR131" s="137"/>
      <c r="AS131" s="137"/>
      <c r="AT131" s="137"/>
      <c r="AV131" s="137"/>
      <c r="AW131" s="137"/>
      <c r="AX131" s="137"/>
    </row>
    <row r="132" spans="1:50" s="79" customFormat="1" ht="10.199999999999999" x14ac:dyDescent="0.2">
      <c r="A132" s="97">
        <f t="shared" ca="1" si="3"/>
        <v>121</v>
      </c>
      <c r="B132" s="68" t="s">
        <v>209</v>
      </c>
      <c r="C132" s="98">
        <v>0.4</v>
      </c>
      <c r="D132" s="69" t="s">
        <v>66</v>
      </c>
      <c r="E132" s="138" t="s">
        <v>87</v>
      </c>
      <c r="F132" s="158">
        <v>8.0000000000000004E-4</v>
      </c>
      <c r="G132" s="158">
        <v>1E-3</v>
      </c>
      <c r="H132" s="158">
        <v>1.9E-3</v>
      </c>
      <c r="I132" s="158">
        <v>2.3999999999999998E-3</v>
      </c>
      <c r="J132" s="158" t="s">
        <v>87</v>
      </c>
      <c r="K132" s="158">
        <v>3.8E-3</v>
      </c>
      <c r="L132" s="158">
        <v>4.4999999999999997E-3</v>
      </c>
      <c r="M132" s="158">
        <v>5.4000000000000003E-3</v>
      </c>
      <c r="N132" s="139" cm="1">
        <f t="array" aca="1" ref="N132:AE132" ca="1">IF(OR(B132="",NOT($J$2)),"",GetStripDefaultProbability(A132,B132,Parameter_Date,CDSRollDate,E132:M132,SpreadCurveMaturities,D132,C132,$J$4,$J$6))</f>
        <v>0</v>
      </c>
      <c r="O132" s="165">
        <f ca="1"/>
        <v>7.4629011945415158E-4</v>
      </c>
      <c r="P132" s="165">
        <f ca="1"/>
        <v>1.7681658853830884E-3</v>
      </c>
      <c r="Q132" s="165">
        <f ca="1"/>
        <v>6.6038782652787509E-3</v>
      </c>
      <c r="R132" s="165">
        <f ca="1"/>
        <v>1.2428733584434082E-2</v>
      </c>
      <c r="S132" s="165">
        <f ca="1"/>
        <v>0</v>
      </c>
      <c r="T132" s="165">
        <f ca="1"/>
        <v>3.2878438934937915E-2</v>
      </c>
      <c r="U132" s="165">
        <f ca="1"/>
        <v>5.4191089820416871E-2</v>
      </c>
      <c r="V132" s="140">
        <f ca="1"/>
        <v>9.2570624938645762E-2</v>
      </c>
      <c r="W132" s="139">
        <f ca="1"/>
        <v>0</v>
      </c>
      <c r="X132" s="165">
        <f ca="1"/>
        <v>8.3953601351138829E-4</v>
      </c>
      <c r="Y132" s="165">
        <f ca="1"/>
        <v>1.9345239941775949E-3</v>
      </c>
      <c r="Z132" s="165">
        <f ca="1"/>
        <v>6.934955123330977E-3</v>
      </c>
      <c r="AA132" s="165">
        <f ca="1"/>
        <v>1.3042349380212648E-2</v>
      </c>
      <c r="AB132" s="165">
        <f ca="1"/>
        <v>0</v>
      </c>
      <c r="AC132" s="165">
        <f ca="1"/>
        <v>3.4493745916378327E-2</v>
      </c>
      <c r="AD132" s="165">
        <f ca="1"/>
        <v>5.6833663732416606E-2</v>
      </c>
      <c r="AE132" s="140">
        <f ca="1"/>
        <v>9.6998412216141805E-2</v>
      </c>
      <c r="AH132" s="137"/>
      <c r="AI132" s="137"/>
      <c r="AJ132" s="137"/>
      <c r="AK132" s="137"/>
      <c r="AM132" s="137"/>
      <c r="AN132" s="137"/>
      <c r="AO132" s="137"/>
      <c r="AQ132" s="137"/>
      <c r="AR132" s="137"/>
      <c r="AS132" s="137"/>
      <c r="AT132" s="137"/>
      <c r="AV132" s="137"/>
      <c r="AW132" s="137"/>
      <c r="AX132" s="137"/>
    </row>
    <row r="133" spans="1:50" s="79" customFormat="1" ht="10.199999999999999" x14ac:dyDescent="0.2">
      <c r="A133" s="97">
        <f t="shared" ca="1" si="3"/>
        <v>122</v>
      </c>
      <c r="B133" s="68" t="s">
        <v>210</v>
      </c>
      <c r="C133" s="98">
        <v>0.4</v>
      </c>
      <c r="D133" s="69" t="s">
        <v>66</v>
      </c>
      <c r="E133" s="138" t="s">
        <v>87</v>
      </c>
      <c r="F133" s="158">
        <v>6.9999999999999999E-4</v>
      </c>
      <c r="G133" s="158">
        <v>8.0000000000000004E-4</v>
      </c>
      <c r="H133" s="158">
        <v>1.2999999999999999E-3</v>
      </c>
      <c r="I133" s="158">
        <v>1.6999999999999999E-3</v>
      </c>
      <c r="J133" s="158" t="s">
        <v>87</v>
      </c>
      <c r="K133" s="158">
        <v>2.7000000000000001E-3</v>
      </c>
      <c r="L133" s="158">
        <v>3.0999999999999999E-3</v>
      </c>
      <c r="M133" s="158">
        <v>3.8999999999999998E-3</v>
      </c>
      <c r="N133" s="139" cm="1">
        <f t="array" aca="1" ref="N133:AE133" ca="1">IF(OR(B133="",NOT($J$2)),"",GetStripDefaultProbability(A133,B133,Parameter_Date,CDSRollDate,E133:M133,SpreadCurveMaturities,D133,C133,$J$4,$J$6))</f>
        <v>0</v>
      </c>
      <c r="O133" s="165">
        <f ca="1"/>
        <v>6.5303425461338271E-4</v>
      </c>
      <c r="P133" s="165">
        <f ca="1"/>
        <v>1.4133760813656027E-3</v>
      </c>
      <c r="Q133" s="165">
        <f ca="1"/>
        <v>4.5111641386793577E-3</v>
      </c>
      <c r="R133" s="165">
        <f ca="1"/>
        <v>8.8144194013967114E-3</v>
      </c>
      <c r="S133" s="165">
        <f ca="1"/>
        <v>0</v>
      </c>
      <c r="T133" s="165">
        <f ca="1"/>
        <v>2.3440921955468319E-2</v>
      </c>
      <c r="U133" s="165">
        <f ca="1"/>
        <v>3.7466202891141331E-2</v>
      </c>
      <c r="V133" s="140">
        <f ca="1"/>
        <v>6.7849509665267926E-2</v>
      </c>
      <c r="W133" s="139">
        <f ca="1"/>
        <v>0</v>
      </c>
      <c r="X133" s="165">
        <f ca="1"/>
        <v>7.4628912209839804E-4</v>
      </c>
      <c r="Y133" s="165">
        <f ca="1"/>
        <v>1.5797933168700817E-3</v>
      </c>
      <c r="Z133" s="165">
        <f ca="1"/>
        <v>4.8429384518453578E-3</v>
      </c>
      <c r="AA133" s="165">
        <f ca="1"/>
        <v>9.3098883141385924E-3</v>
      </c>
      <c r="AB133" s="165">
        <f ca="1"/>
        <v>0</v>
      </c>
      <c r="AC133" s="165">
        <f ca="1"/>
        <v>2.4585606010644412E-2</v>
      </c>
      <c r="AD133" s="165">
        <f ca="1"/>
        <v>3.9294185056723108E-2</v>
      </c>
      <c r="AE133" s="140">
        <f ca="1"/>
        <v>7.1123022233172906E-2</v>
      </c>
      <c r="AH133" s="137"/>
      <c r="AI133" s="137"/>
      <c r="AJ133" s="137"/>
      <c r="AK133" s="137"/>
      <c r="AM133" s="137"/>
      <c r="AN133" s="137"/>
      <c r="AO133" s="137"/>
      <c r="AQ133" s="137"/>
      <c r="AR133" s="137"/>
      <c r="AS133" s="137"/>
      <c r="AT133" s="137"/>
      <c r="AV133" s="137"/>
      <c r="AW133" s="137"/>
      <c r="AX133" s="137"/>
    </row>
    <row r="134" spans="1:50" s="79" customFormat="1" ht="10.199999999999999" x14ac:dyDescent="0.2">
      <c r="A134" s="97">
        <f ca="1">IF(B134="","",A133+1)</f>
        <v>123</v>
      </c>
      <c r="B134" s="68" t="s">
        <v>211</v>
      </c>
      <c r="C134" s="98">
        <v>0.4</v>
      </c>
      <c r="D134" s="69" t="s">
        <v>66</v>
      </c>
      <c r="E134" s="138" t="s">
        <v>87</v>
      </c>
      <c r="F134" s="158">
        <v>2.9999999999999997E-4</v>
      </c>
      <c r="G134" s="158">
        <v>5.9999999999999995E-4</v>
      </c>
      <c r="H134" s="158">
        <v>1.2999999999999999E-3</v>
      </c>
      <c r="I134" s="158">
        <v>1.8E-3</v>
      </c>
      <c r="J134" s="158" t="s">
        <v>87</v>
      </c>
      <c r="K134" s="158">
        <v>2.8999999999999998E-3</v>
      </c>
      <c r="L134" s="158">
        <v>3.5000000000000001E-3</v>
      </c>
      <c r="M134" s="158">
        <v>4.4999999999999997E-3</v>
      </c>
      <c r="N134" s="139" cm="1">
        <f t="array" aca="1" ref="N134:AE134" ca="1">IF(OR(B134="",NOT($J$2)),"",GetStripDefaultProbability(A134,B134,Parameter_Date,CDSRollDate,E134:M134,SpreadCurveMaturities,D134,C134,$J$4,$J$6))</f>
        <v>0</v>
      </c>
      <c r="O134" s="165">
        <f ca="1"/>
        <v>2.799239499720052E-4</v>
      </c>
      <c r="P134" s="165">
        <f ca="1"/>
        <v>1.0653449239070856E-3</v>
      </c>
      <c r="Q134" s="165">
        <f ca="1"/>
        <v>4.5328903768249162E-3</v>
      </c>
      <c r="R134" s="165">
        <f ca="1"/>
        <v>9.3696387080937082E-3</v>
      </c>
      <c r="S134" s="165">
        <f ca="1"/>
        <v>0</v>
      </c>
      <c r="T134" s="165">
        <f ca="1"/>
        <v>2.5216329146218408E-2</v>
      </c>
      <c r="U134" s="165">
        <f ca="1"/>
        <v>4.2468678198841703E-2</v>
      </c>
      <c r="V134" s="140">
        <f ca="1"/>
        <v>7.8462738132099585E-2</v>
      </c>
      <c r="W134" s="139">
        <f ca="1"/>
        <v>0</v>
      </c>
      <c r="X134" s="165">
        <f ca="1"/>
        <v>3.7321434723358582E-4</v>
      </c>
      <c r="Y134" s="165">
        <f ca="1"/>
        <v>1.2318201597600886E-3</v>
      </c>
      <c r="Z134" s="165">
        <f ca="1"/>
        <v>4.8646574491245653E-3</v>
      </c>
      <c r="AA134" s="165">
        <f ca="1"/>
        <v>9.8648300805670441E-3</v>
      </c>
      <c r="AB134" s="165">
        <f ca="1"/>
        <v>0</v>
      </c>
      <c r="AC134" s="165">
        <f ca="1"/>
        <v>2.644887811708363E-2</v>
      </c>
      <c r="AD134" s="165">
        <f ca="1"/>
        <v>4.454007035266272E-2</v>
      </c>
      <c r="AE134" s="140">
        <f ca="1"/>
        <v>8.2235004229812003E-2</v>
      </c>
      <c r="AH134" s="137"/>
      <c r="AI134" s="137"/>
      <c r="AJ134" s="137"/>
      <c r="AK134" s="137"/>
      <c r="AM134" s="137"/>
      <c r="AN134" s="137"/>
      <c r="AO134" s="137"/>
      <c r="AQ134" s="137"/>
      <c r="AR134" s="137"/>
      <c r="AS134" s="137"/>
      <c r="AT134" s="137"/>
      <c r="AV134" s="137"/>
      <c r="AW134" s="137"/>
      <c r="AX134" s="137"/>
    </row>
    <row r="135" spans="1:50" s="79" customFormat="1" ht="10.199999999999999" x14ac:dyDescent="0.2">
      <c r="A135" s="97">
        <f ca="1">IF(B135="","",A134+1)</f>
        <v>124</v>
      </c>
      <c r="B135" s="68" t="s">
        <v>212</v>
      </c>
      <c r="C135" s="98">
        <v>0.4</v>
      </c>
      <c r="D135" s="69" t="s">
        <v>66</v>
      </c>
      <c r="E135" s="138" t="s">
        <v>87</v>
      </c>
      <c r="F135" s="158">
        <v>5.9999999999999995E-4</v>
      </c>
      <c r="G135" s="158">
        <v>8.9999999999999998E-4</v>
      </c>
      <c r="H135" s="158">
        <v>1.8E-3</v>
      </c>
      <c r="I135" s="158">
        <v>2.5000000000000001E-3</v>
      </c>
      <c r="J135" s="158" t="s">
        <v>87</v>
      </c>
      <c r="K135" s="158">
        <v>3.8999999999999998E-3</v>
      </c>
      <c r="L135" s="158">
        <v>4.7999999999999996E-3</v>
      </c>
      <c r="M135" s="158">
        <v>6.3E-3</v>
      </c>
      <c r="N135" s="139" cm="1">
        <f t="array" aca="1" ref="N135:AE135" ca="1">IF(OR(B135="",NOT($J$2)),"",GetStripDefaultProbability(A135,B135,Parameter_Date,CDSRollDate,E135:M135,SpreadCurveMaturities,D135,C135,$J$4,$J$6))</f>
        <v>0</v>
      </c>
      <c r="O135" s="165">
        <f ca="1"/>
        <v>5.5976970645477131E-4</v>
      </c>
      <c r="P135" s="165">
        <f ca="1"/>
        <v>1.5942443069785206E-3</v>
      </c>
      <c r="Q135" s="165">
        <f ca="1"/>
        <v>6.26383850054546E-3</v>
      </c>
      <c r="R135" s="165">
        <f ca="1"/>
        <v>1.2988993192855847E-2</v>
      </c>
      <c r="S135" s="165">
        <f ca="1"/>
        <v>0</v>
      </c>
      <c r="T135" s="165">
        <f ca="1"/>
        <v>3.3758666378448821E-2</v>
      </c>
      <c r="U135" s="165">
        <f ca="1"/>
        <v>5.7956388173416973E-2</v>
      </c>
      <c r="V135" s="140">
        <f ca="1"/>
        <v>0.10892962804782325</v>
      </c>
      <c r="W135" s="139">
        <f ca="1"/>
        <v>0</v>
      </c>
      <c r="X135" s="165">
        <f ca="1"/>
        <v>6.5303351059242676E-4</v>
      </c>
      <c r="Y135" s="165">
        <f ca="1"/>
        <v>1.7606314002855949E-3</v>
      </c>
      <c r="Z135" s="165">
        <f ca="1"/>
        <v>6.595028686281923E-3</v>
      </c>
      <c r="AA135" s="165">
        <f ca="1"/>
        <v>1.3629078255462335E-2</v>
      </c>
      <c r="AB135" s="165">
        <f ca="1"/>
        <v>0</v>
      </c>
      <c r="AC135" s="165">
        <f ca="1"/>
        <v>3.5415457659780381E-2</v>
      </c>
      <c r="AD135" s="165">
        <f ca="1"/>
        <v>6.0778013232322459E-2</v>
      </c>
      <c r="AE135" s="140">
        <f ca="1"/>
        <v>0.11414715976629242</v>
      </c>
      <c r="AH135" s="137"/>
      <c r="AI135" s="137"/>
      <c r="AJ135" s="137"/>
      <c r="AK135" s="137"/>
      <c r="AM135" s="137"/>
      <c r="AN135" s="137"/>
      <c r="AO135" s="137"/>
      <c r="AQ135" s="137"/>
      <c r="AR135" s="137"/>
      <c r="AS135" s="137"/>
      <c r="AT135" s="137"/>
      <c r="AV135" s="137"/>
      <c r="AW135" s="137"/>
      <c r="AX135" s="137"/>
    </row>
    <row r="136" spans="1:50" s="79" customFormat="1" ht="10.199999999999999" x14ac:dyDescent="0.2">
      <c r="A136" s="97">
        <f ca="1">IF(B136="","",A135+1)</f>
        <v>125</v>
      </c>
      <c r="B136" s="68" t="s">
        <v>213</v>
      </c>
      <c r="C136" s="98">
        <v>0.4</v>
      </c>
      <c r="D136" s="69" t="s">
        <v>66</v>
      </c>
      <c r="E136" s="138" t="s">
        <v>87</v>
      </c>
      <c r="F136" s="158">
        <v>1.1800000000000001E-3</v>
      </c>
      <c r="G136" s="158">
        <v>1.5299999999999999E-3</v>
      </c>
      <c r="H136" s="158">
        <v>2.0699999999999998E-3</v>
      </c>
      <c r="I136" s="158">
        <v>2.49E-3</v>
      </c>
      <c r="J136" s="158" t="s">
        <v>87</v>
      </c>
      <c r="K136" s="158">
        <v>3.2000000000000002E-3</v>
      </c>
      <c r="L136" s="158">
        <v>3.62E-3</v>
      </c>
      <c r="M136" s="158">
        <v>4.0000000000000001E-3</v>
      </c>
      <c r="N136" s="139" cm="1">
        <f t="array" aca="1" ref="N136:AE136" ca="1">IF(OR(B136="",NOT($J$2)),"",GetStripDefaultProbability(A136,B136,Parameter_Date,CDSRollDate,E136:M136,SpreadCurveMaturities,D136,C136,$J$4,$J$6))</f>
        <v>0</v>
      </c>
      <c r="O136" s="165">
        <f ca="1"/>
        <v>1.1005832353835343E-3</v>
      </c>
      <c r="P136" s="165">
        <f ca="1"/>
        <v>2.7052011096243556E-3</v>
      </c>
      <c r="Q136" s="165">
        <f ca="1"/>
        <v>7.1578106290857146E-3</v>
      </c>
      <c r="R136" s="165">
        <f ca="1"/>
        <v>1.2835818992169568E-2</v>
      </c>
      <c r="S136" s="165">
        <f ca="1"/>
        <v>0</v>
      </c>
      <c r="T136" s="165">
        <f ca="1"/>
        <v>2.74141870031539E-2</v>
      </c>
      <c r="U136" s="165">
        <f ca="1"/>
        <v>4.3258868518567528E-2</v>
      </c>
      <c r="V136" s="140">
        <f ca="1"/>
        <v>6.7873733661426905E-2</v>
      </c>
      <c r="W136" s="139">
        <f ca="1"/>
        <v>0</v>
      </c>
      <c r="X136" s="165">
        <f ca="1"/>
        <v>1.1937946883282535E-3</v>
      </c>
      <c r="Y136" s="165">
        <f ca="1"/>
        <v>2.8714030588935513E-3</v>
      </c>
      <c r="Z136" s="165">
        <f ca="1"/>
        <v>7.5002821046772361E-3</v>
      </c>
      <c r="AA136" s="165">
        <f ca="1"/>
        <v>1.3472354514532325E-2</v>
      </c>
      <c r="AB136" s="165">
        <f ca="1"/>
        <v>0</v>
      </c>
      <c r="AC136" s="165">
        <f ca="1"/>
        <v>2.876554132316822E-2</v>
      </c>
      <c r="AD136" s="165">
        <f ca="1"/>
        <v>4.5377629110659901E-2</v>
      </c>
      <c r="AE136" s="140">
        <f ca="1"/>
        <v>7.1154515919969019E-2</v>
      </c>
      <c r="AH136" s="137"/>
      <c r="AI136" s="137"/>
      <c r="AJ136" s="137"/>
      <c r="AK136" s="137"/>
      <c r="AM136" s="137"/>
      <c r="AN136" s="137"/>
      <c r="AO136" s="137"/>
      <c r="AQ136" s="137"/>
      <c r="AR136" s="137"/>
      <c r="AS136" s="137"/>
      <c r="AT136" s="137"/>
      <c r="AV136" s="137"/>
      <c r="AW136" s="137"/>
      <c r="AX136" s="137"/>
    </row>
    <row r="137" spans="1:50" s="79" customFormat="1" ht="10.199999999999999" x14ac:dyDescent="0.2">
      <c r="A137" s="97">
        <f ca="1">IF(B137="","",A136+1)</f>
        <v>126</v>
      </c>
      <c r="B137" s="68" t="s">
        <v>214</v>
      </c>
      <c r="C137" s="98">
        <v>0.4</v>
      </c>
      <c r="D137" s="69" t="s">
        <v>67</v>
      </c>
      <c r="E137" s="138" t="s">
        <v>87</v>
      </c>
      <c r="F137" s="158" t="s">
        <v>87</v>
      </c>
      <c r="G137" s="158">
        <v>7.1500000000000003E-4</v>
      </c>
      <c r="H137" s="158" t="s">
        <v>87</v>
      </c>
      <c r="I137" s="158">
        <v>1.815E-3</v>
      </c>
      <c r="J137" s="158" t="s">
        <v>87</v>
      </c>
      <c r="K137" s="158">
        <v>2.7499999999999998E-3</v>
      </c>
      <c r="L137" s="158">
        <v>3.0799999999999998E-3</v>
      </c>
      <c r="M137" s="158">
        <v>3.63E-3</v>
      </c>
      <c r="N137" s="139" cm="1">
        <f t="array" aca="1" ref="N137:AE137" ca="1">IF(OR(B137="",NOT($J$2)),"",GetStripDefaultProbability(A137,B137,Parameter_Date,CDSRollDate,E137:M137,SpreadCurveMaturities,D137,C137,$J$4,$J$6))</f>
        <v>0</v>
      </c>
      <c r="O137" s="165">
        <f ca="1"/>
        <v>0</v>
      </c>
      <c r="P137" s="165">
        <f ca="1"/>
        <v>1.2612681894565991E-3</v>
      </c>
      <c r="Q137" s="165">
        <f ca="1"/>
        <v>0</v>
      </c>
      <c r="R137" s="165">
        <f ca="1"/>
        <v>9.3946586333726323E-3</v>
      </c>
      <c r="S137" s="165">
        <f ca="1"/>
        <v>0</v>
      </c>
      <c r="T137" s="165">
        <f ca="1"/>
        <v>2.3846460807469883E-2</v>
      </c>
      <c r="U137" s="165">
        <f ca="1"/>
        <v>3.7168430799574326E-2</v>
      </c>
      <c r="V137" s="140">
        <f ca="1"/>
        <v>6.2880048102936015E-2</v>
      </c>
      <c r="W137" s="139">
        <f ca="1"/>
        <v>0</v>
      </c>
      <c r="X137" s="165">
        <f ca="1"/>
        <v>0</v>
      </c>
      <c r="Y137" s="165">
        <f ca="1"/>
        <v>1.427710774178137E-3</v>
      </c>
      <c r="Z137" s="165">
        <f ca="1"/>
        <v>0</v>
      </c>
      <c r="AA137" s="165">
        <f ca="1"/>
        <v>9.8898374990100679E-3</v>
      </c>
      <c r="AB137" s="165">
        <f ca="1"/>
        <v>0</v>
      </c>
      <c r="AC137" s="165">
        <f ca="1"/>
        <v>2.5014278346347285E-2</v>
      </c>
      <c r="AD137" s="165">
        <f ca="1"/>
        <v>3.8984922785234244E-2</v>
      </c>
      <c r="AE137" s="140">
        <f ca="1"/>
        <v>6.592010104899404E-2</v>
      </c>
      <c r="AI137" s="137"/>
      <c r="AK137" s="137"/>
      <c r="AM137" s="137"/>
      <c r="AN137" s="137"/>
      <c r="AO137" s="137"/>
      <c r="AR137" s="137"/>
      <c r="AT137" s="137"/>
      <c r="AV137" s="137"/>
      <c r="AW137" s="137"/>
      <c r="AX137" s="137"/>
    </row>
    <row r="138" spans="1:50" s="79" customFormat="1" ht="10.199999999999999" x14ac:dyDescent="0.2">
      <c r="A138" s="97">
        <f ca="1">IF(B138="","",A137+1)</f>
        <v>127</v>
      </c>
      <c r="B138" s="68" t="s">
        <v>215</v>
      </c>
      <c r="C138" s="98">
        <v>0.4</v>
      </c>
      <c r="D138" s="69" t="s">
        <v>67</v>
      </c>
      <c r="E138" s="138" t="s">
        <v>87</v>
      </c>
      <c r="F138" s="158" t="s">
        <v>87</v>
      </c>
      <c r="G138" s="158">
        <v>1.4220000000000001E-3</v>
      </c>
      <c r="H138" s="158" t="s">
        <v>87</v>
      </c>
      <c r="I138" s="158">
        <v>2.6410000000000001E-3</v>
      </c>
      <c r="J138" s="158" t="s">
        <v>87</v>
      </c>
      <c r="K138" s="158">
        <v>3.8600000000000001E-3</v>
      </c>
      <c r="L138" s="158">
        <v>4.7739999999999996E-3</v>
      </c>
      <c r="M138" s="158">
        <v>5.6880000000000003E-3</v>
      </c>
      <c r="N138" s="139" cm="1">
        <f t="array" aca="1" ref="N138:AE138" ca="1">IF(OR(B138="",NOT($J$2)),"",GetStripDefaultProbability(A138,B138,Parameter_Date,CDSRollDate,E138:M138,SpreadCurveMaturities,D138,C138,$J$4,$J$6))</f>
        <v>0</v>
      </c>
      <c r="O138" s="165">
        <f ca="1"/>
        <v>0</v>
      </c>
      <c r="P138" s="165">
        <f ca="1"/>
        <v>2.5068718825357328E-3</v>
      </c>
      <c r="Q138" s="165">
        <f ca="1"/>
        <v>0</v>
      </c>
      <c r="R138" s="165">
        <f ca="1"/>
        <v>1.3596526584674362E-2</v>
      </c>
      <c r="S138" s="165">
        <f ca="1"/>
        <v>0</v>
      </c>
      <c r="T138" s="165">
        <f ca="1"/>
        <v>3.3243820631723819E-2</v>
      </c>
      <c r="U138" s="165">
        <f ca="1"/>
        <v>5.765051226431861E-2</v>
      </c>
      <c r="V138" s="140">
        <f ca="1"/>
        <v>9.7819018722693163E-2</v>
      </c>
      <c r="W138" s="139">
        <f ca="1"/>
        <v>0</v>
      </c>
      <c r="X138" s="165">
        <f ca="1"/>
        <v>0</v>
      </c>
      <c r="Y138" s="165">
        <f ca="1"/>
        <v>2.6731068839384031E-3</v>
      </c>
      <c r="Z138" s="165">
        <f ca="1"/>
        <v>0</v>
      </c>
      <c r="AA138" s="165">
        <f ca="1"/>
        <v>1.4268123767248397E-2</v>
      </c>
      <c r="AB138" s="165">
        <f ca="1"/>
        <v>0</v>
      </c>
      <c r="AC138" s="165">
        <f ca="1"/>
        <v>3.4877113152159356E-2</v>
      </c>
      <c r="AD138" s="165">
        <f ca="1"/>
        <v>6.0458459997612679E-2</v>
      </c>
      <c r="AE138" s="140">
        <f ca="1"/>
        <v>0.10251430380599824</v>
      </c>
      <c r="AI138" s="137"/>
      <c r="AK138" s="137"/>
      <c r="AM138" s="137"/>
      <c r="AN138" s="137"/>
      <c r="AO138" s="137"/>
      <c r="AR138" s="137"/>
      <c r="AT138" s="137"/>
      <c r="AV138" s="137"/>
      <c r="AW138" s="137"/>
      <c r="AX138" s="137"/>
    </row>
    <row r="139" spans="1:50" s="79" customFormat="1" ht="10.199999999999999" x14ac:dyDescent="0.2">
      <c r="A139" s="97">
        <f t="shared" ref="A139:A202" ca="1" si="4">IF(B139="","",A138+1)</f>
        <v>128</v>
      </c>
      <c r="B139" s="68" t="s">
        <v>216</v>
      </c>
      <c r="C139" s="98">
        <v>0.4</v>
      </c>
      <c r="D139" s="69" t="s">
        <v>67</v>
      </c>
      <c r="E139" s="138" t="s">
        <v>87</v>
      </c>
      <c r="F139" s="158">
        <v>1.34E-3</v>
      </c>
      <c r="G139" s="158">
        <v>2.0799999999999998E-3</v>
      </c>
      <c r="H139" s="158">
        <v>3.0500000000000002E-3</v>
      </c>
      <c r="I139" s="158">
        <v>3.5400000000000002E-3</v>
      </c>
      <c r="J139" s="158" t="s">
        <v>87</v>
      </c>
      <c r="K139" s="158">
        <v>4.2700000000000004E-3</v>
      </c>
      <c r="L139" s="158">
        <v>4.64E-3</v>
      </c>
      <c r="M139" s="158">
        <v>5.0099999999999997E-3</v>
      </c>
      <c r="N139" s="139" cm="1">
        <f t="array" aca="1" ref="N139:AE139" ca="1">IF(OR(B139="",NOT($J$2)),"",GetStripDefaultProbability(A139,B139,Parameter_Date,CDSRollDate,E139:M139,SpreadCurveMaturities,D139,C139,$J$4,$J$6))</f>
        <v>0</v>
      </c>
      <c r="O139" s="165">
        <f ca="1"/>
        <v>1.2497407547387152E-3</v>
      </c>
      <c r="P139" s="165">
        <f ca="1"/>
        <v>3.6824541628918128E-3</v>
      </c>
      <c r="Q139" s="165">
        <f ca="1"/>
        <v>1.0552677554796719E-2</v>
      </c>
      <c r="R139" s="165">
        <f ca="1"/>
        <v>1.8203929552983111E-2</v>
      </c>
      <c r="S139" s="165">
        <f ca="1"/>
        <v>0</v>
      </c>
      <c r="T139" s="165">
        <f ca="1"/>
        <v>3.6332852269877591E-2</v>
      </c>
      <c r="U139" s="165">
        <f ca="1"/>
        <v>5.4871016709187814E-2</v>
      </c>
      <c r="V139" s="140">
        <f ca="1"/>
        <v>8.3927591820013303E-2</v>
      </c>
      <c r="W139" s="139">
        <f ca="1"/>
        <v>0</v>
      </c>
      <c r="X139" s="165">
        <f ca="1"/>
        <v>1.342938959872364E-3</v>
      </c>
      <c r="Y139" s="165">
        <f ca="1"/>
        <v>3.8551342381403231E-3</v>
      </c>
      <c r="Z139" s="165">
        <f ca="1"/>
        <v>1.1077343065725942E-2</v>
      </c>
      <c r="AA139" s="165">
        <f ca="1"/>
        <v>1.9106242957927844E-2</v>
      </c>
      <c r="AB139" s="165">
        <f ca="1"/>
        <v>0</v>
      </c>
      <c r="AC139" s="165">
        <f ca="1"/>
        <v>3.8116649105767175E-2</v>
      </c>
      <c r="AD139" s="165">
        <f ca="1"/>
        <v>5.7542352351643622E-2</v>
      </c>
      <c r="AE139" s="140">
        <f ca="1"/>
        <v>8.7945818875889481E-2</v>
      </c>
      <c r="AH139" s="137"/>
      <c r="AI139" s="137"/>
      <c r="AJ139" s="137"/>
      <c r="AK139" s="137"/>
      <c r="AM139" s="137"/>
      <c r="AN139" s="137"/>
      <c r="AO139" s="137"/>
      <c r="AQ139" s="137"/>
      <c r="AR139" s="137"/>
      <c r="AS139" s="137"/>
      <c r="AT139" s="137"/>
      <c r="AV139" s="137"/>
      <c r="AW139" s="137"/>
      <c r="AX139" s="137"/>
    </row>
    <row r="140" spans="1:50" s="79" customFormat="1" ht="10.199999999999999" x14ac:dyDescent="0.2">
      <c r="A140" s="97">
        <f t="shared" ca="1" si="4"/>
        <v>129</v>
      </c>
      <c r="B140" s="68" t="s">
        <v>217</v>
      </c>
      <c r="C140" s="98">
        <v>0.4</v>
      </c>
      <c r="D140" s="69" t="s">
        <v>67</v>
      </c>
      <c r="E140" s="138" t="s">
        <v>87</v>
      </c>
      <c r="F140" s="158" t="s">
        <v>87</v>
      </c>
      <c r="G140" s="158">
        <v>7.7700000000000002E-4</v>
      </c>
      <c r="H140" s="158" t="s">
        <v>87</v>
      </c>
      <c r="I140" s="158">
        <v>1.4959999999999999E-3</v>
      </c>
      <c r="J140" s="158" t="s">
        <v>87</v>
      </c>
      <c r="K140" s="158">
        <v>2.1710000000000002E-3</v>
      </c>
      <c r="L140" s="158">
        <v>2.5089999999999999E-3</v>
      </c>
      <c r="M140" s="158">
        <v>3.4740000000000001E-3</v>
      </c>
      <c r="N140" s="139" cm="1">
        <f t="array" aca="1" ref="N140:AE140" ca="1">IF(OR(B140="",NOT($J$2)),"",GetStripDefaultProbability(A140,B140,Parameter_Date,CDSRollDate,E140:M140,SpreadCurveMaturities,D140,C140,$J$4,$J$6))</f>
        <v>0</v>
      </c>
      <c r="O140" s="165">
        <f ca="1"/>
        <v>0</v>
      </c>
      <c r="P140" s="165">
        <f ca="1"/>
        <v>1.3705624702581298E-3</v>
      </c>
      <c r="Q140" s="165">
        <f ca="1"/>
        <v>0</v>
      </c>
      <c r="R140" s="165">
        <f ca="1"/>
        <v>7.7242293564093734E-3</v>
      </c>
      <c r="S140" s="165">
        <f ca="1"/>
        <v>0</v>
      </c>
      <c r="T140" s="165">
        <f ca="1"/>
        <v>1.8797054141239666E-2</v>
      </c>
      <c r="U140" s="165">
        <f ca="1"/>
        <v>3.0397277807905687E-2</v>
      </c>
      <c r="V140" s="140">
        <f ca="1"/>
        <v>6.1756105689401375E-2</v>
      </c>
      <c r="W140" s="139">
        <f ca="1"/>
        <v>0</v>
      </c>
      <c r="X140" s="165">
        <f ca="1"/>
        <v>0</v>
      </c>
      <c r="Y140" s="165">
        <f ca="1"/>
        <v>1.5369868407477671E-3</v>
      </c>
      <c r="Z140" s="165">
        <f ca="1"/>
        <v>0</v>
      </c>
      <c r="AA140" s="165">
        <f ca="1"/>
        <v>8.2202432279556703E-3</v>
      </c>
      <c r="AB140" s="165">
        <f ca="1"/>
        <v>0</v>
      </c>
      <c r="AC140" s="165">
        <f ca="1"/>
        <v>1.9708884913060998E-2</v>
      </c>
      <c r="AD140" s="165">
        <f ca="1"/>
        <v>3.1876974610532627E-2</v>
      </c>
      <c r="AE140" s="140">
        <f ca="1"/>
        <v>6.4738299914087194E-2</v>
      </c>
      <c r="AI140" s="137"/>
      <c r="AK140" s="137"/>
      <c r="AM140" s="137"/>
      <c r="AN140" s="137"/>
      <c r="AO140" s="137"/>
      <c r="AR140" s="137"/>
      <c r="AT140" s="137"/>
      <c r="AV140" s="137"/>
      <c r="AW140" s="137"/>
      <c r="AX140" s="137"/>
    </row>
    <row r="141" spans="1:50" s="79" customFormat="1" ht="10.199999999999999" x14ac:dyDescent="0.2">
      <c r="A141" s="97">
        <f t="shared" ca="1" si="4"/>
        <v>130</v>
      </c>
      <c r="B141" s="68" t="s">
        <v>218</v>
      </c>
      <c r="C141" s="98">
        <v>0.4</v>
      </c>
      <c r="D141" s="69" t="s">
        <v>67</v>
      </c>
      <c r="E141" s="138" t="s">
        <v>87</v>
      </c>
      <c r="F141" s="158" t="s">
        <v>87</v>
      </c>
      <c r="G141" s="158">
        <v>9.4300000000000004E-4</v>
      </c>
      <c r="H141" s="158" t="s">
        <v>87</v>
      </c>
      <c r="I141" s="158">
        <v>2.702E-3</v>
      </c>
      <c r="J141" s="158" t="s">
        <v>87</v>
      </c>
      <c r="K141" s="158">
        <v>3.908E-3</v>
      </c>
      <c r="L141" s="158">
        <v>4.6319999999999998E-3</v>
      </c>
      <c r="M141" s="158">
        <v>5.6940000000000003E-3</v>
      </c>
      <c r="N141" s="139" cm="1">
        <f t="array" aca="1" ref="N141:AE141" ca="1">IF(OR(B141="",NOT($J$2)),"",GetStripDefaultProbability(A141,B141,Parameter_Date,CDSRollDate,E141:M141,SpreadCurveMaturities,D141,C141,$J$4,$J$6))</f>
        <v>0</v>
      </c>
      <c r="O141" s="165">
        <f ca="1"/>
        <v>0</v>
      </c>
      <c r="P141" s="165">
        <f ca="1"/>
        <v>1.663130665910062E-3</v>
      </c>
      <c r="Q141" s="165">
        <f ca="1"/>
        <v>0</v>
      </c>
      <c r="R141" s="165">
        <f ca="1"/>
        <v>1.3977408352823129E-2</v>
      </c>
      <c r="S141" s="165">
        <f ca="1"/>
        <v>0</v>
      </c>
      <c r="T141" s="165">
        <f ca="1"/>
        <v>3.3704077993779724E-2</v>
      </c>
      <c r="U141" s="165">
        <f ca="1"/>
        <v>5.5771420731162924E-2</v>
      </c>
      <c r="V141" s="140">
        <f ca="1"/>
        <v>9.8217648700557159E-2</v>
      </c>
      <c r="W141" s="139">
        <f ca="1"/>
        <v>0</v>
      </c>
      <c r="X141" s="165">
        <f ca="1"/>
        <v>0</v>
      </c>
      <c r="Y141" s="165">
        <f ca="1"/>
        <v>1.82950627909928E-3</v>
      </c>
      <c r="Z141" s="165">
        <f ca="1"/>
        <v>0</v>
      </c>
      <c r="AA141" s="165">
        <f ca="1"/>
        <v>1.4664691059545265E-2</v>
      </c>
      <c r="AB141" s="165">
        <f ca="1"/>
        <v>0</v>
      </c>
      <c r="AC141" s="165">
        <f ca="1"/>
        <v>3.5356805790481172E-2</v>
      </c>
      <c r="AD141" s="165">
        <f ca="1"/>
        <v>5.8486009501272807E-2</v>
      </c>
      <c r="AE141" s="140">
        <f ca="1"/>
        <v>0.10293056400524903</v>
      </c>
      <c r="AI141" s="137"/>
      <c r="AK141" s="137"/>
      <c r="AM141" s="137"/>
      <c r="AN141" s="137"/>
      <c r="AO141" s="137"/>
      <c r="AR141" s="137"/>
      <c r="AT141" s="137"/>
      <c r="AV141" s="137"/>
      <c r="AW141" s="137"/>
      <c r="AX141" s="137"/>
    </row>
    <row r="142" spans="1:50" s="79" customFormat="1" ht="10.199999999999999" x14ac:dyDescent="0.2">
      <c r="A142" s="97">
        <f t="shared" ca="1" si="4"/>
        <v>131</v>
      </c>
      <c r="B142" s="68" t="s">
        <v>219</v>
      </c>
      <c r="C142" s="98">
        <v>0.4</v>
      </c>
      <c r="D142" s="69" t="s">
        <v>67</v>
      </c>
      <c r="E142" s="138" t="s">
        <v>87</v>
      </c>
      <c r="F142" s="158" t="s">
        <v>87</v>
      </c>
      <c r="G142" s="158">
        <v>1.206E-3</v>
      </c>
      <c r="H142" s="158" t="s">
        <v>87</v>
      </c>
      <c r="I142" s="158">
        <v>1.9189999999999999E-3</v>
      </c>
      <c r="J142" s="158" t="s">
        <v>87</v>
      </c>
      <c r="K142" s="158">
        <v>2.4130000000000002E-3</v>
      </c>
      <c r="L142" s="158">
        <v>2.6809999999999998E-3</v>
      </c>
      <c r="M142" s="158">
        <v>3.2169999999999998E-3</v>
      </c>
      <c r="N142" s="139" cm="1">
        <f t="array" aca="1" ref="N142:AE142" ca="1">IF(OR(B142="",NOT($J$2)),"",GetStripDefaultProbability(A142,B142,Parameter_Date,CDSRollDate,E142:M142,SpreadCurveMaturities,D142,C142,$J$4,$J$6))</f>
        <v>0</v>
      </c>
      <c r="O142" s="165">
        <f ca="1"/>
        <v>0</v>
      </c>
      <c r="P142" s="165">
        <f ca="1"/>
        <v>2.1264832855441007E-3</v>
      </c>
      <c r="Q142" s="165">
        <f ca="1"/>
        <v>0</v>
      </c>
      <c r="R142" s="165">
        <f ca="1"/>
        <v>9.8720946483695782E-3</v>
      </c>
      <c r="S142" s="165">
        <f ca="1"/>
        <v>0</v>
      </c>
      <c r="T142" s="165">
        <f ca="1"/>
        <v>2.0688039638446898E-2</v>
      </c>
      <c r="U142" s="165">
        <f ca="1"/>
        <v>3.2129003884179386E-2</v>
      </c>
      <c r="V142" s="140">
        <f ca="1"/>
        <v>5.5758117487792913E-2</v>
      </c>
      <c r="W142" s="139">
        <f ca="1"/>
        <v>0</v>
      </c>
      <c r="X142" s="165">
        <f ca="1"/>
        <v>0</v>
      </c>
      <c r="Y142" s="165">
        <f ca="1"/>
        <v>2.2927816797388978E-3</v>
      </c>
      <c r="Z142" s="165">
        <f ca="1"/>
        <v>0</v>
      </c>
      <c r="AA142" s="165">
        <f ca="1"/>
        <v>1.036703485565349E-2</v>
      </c>
      <c r="AB142" s="165">
        <f ca="1"/>
        <v>0</v>
      </c>
      <c r="AC142" s="165">
        <f ca="1"/>
        <v>2.1706655646795414E-2</v>
      </c>
      <c r="AD142" s="165">
        <f ca="1"/>
        <v>3.3706076993849421E-2</v>
      </c>
      <c r="AE142" s="140">
        <f ca="1"/>
        <v>5.8466876995080574E-2</v>
      </c>
      <c r="AI142" s="137"/>
      <c r="AK142" s="137"/>
      <c r="AM142" s="137"/>
      <c r="AN142" s="137"/>
      <c r="AO142" s="137"/>
      <c r="AR142" s="137"/>
      <c r="AT142" s="137"/>
      <c r="AV142" s="137"/>
      <c r="AW142" s="137"/>
      <c r="AX142" s="137"/>
    </row>
    <row r="143" spans="1:50" s="79" customFormat="1" ht="10.199999999999999" x14ac:dyDescent="0.2">
      <c r="A143" s="97">
        <f t="shared" ca="1" si="4"/>
        <v>132</v>
      </c>
      <c r="B143" s="68" t="s">
        <v>220</v>
      </c>
      <c r="C143" s="98">
        <v>0.4</v>
      </c>
      <c r="D143" s="69" t="s">
        <v>67</v>
      </c>
      <c r="E143" s="138" t="s">
        <v>87</v>
      </c>
      <c r="F143" s="158" t="s">
        <v>87</v>
      </c>
      <c r="G143" s="158">
        <v>1.178E-3</v>
      </c>
      <c r="H143" s="158" t="s">
        <v>87</v>
      </c>
      <c r="I143" s="158">
        <v>2.3010000000000001E-3</v>
      </c>
      <c r="J143" s="158" t="s">
        <v>87</v>
      </c>
      <c r="K143" s="158">
        <v>3.3779999999999999E-3</v>
      </c>
      <c r="L143" s="158">
        <v>4.3559999999999996E-3</v>
      </c>
      <c r="M143" s="158">
        <v>5.3350000000000003E-3</v>
      </c>
      <c r="N143" s="139" cm="1">
        <f t="array" aca="1" ref="N143:AE143" ca="1">IF(OR(B143="",NOT($J$2)),"",GetStripDefaultProbability(A143,B143,Parameter_Date,CDSRollDate,E143:M143,SpreadCurveMaturities,D143,C143,$J$4,$J$6))</f>
        <v>0</v>
      </c>
      <c r="O143" s="165">
        <f ca="1"/>
        <v>0</v>
      </c>
      <c r="P143" s="165">
        <f ca="1"/>
        <v>2.0771631184574035E-3</v>
      </c>
      <c r="Q143" s="165">
        <f ca="1"/>
        <v>0</v>
      </c>
      <c r="R143" s="165">
        <f ca="1"/>
        <v>1.1862749119773475E-2</v>
      </c>
      <c r="S143" s="165">
        <f ca="1"/>
        <v>0</v>
      </c>
      <c r="T143" s="165">
        <f ca="1"/>
        <v>2.9152892556671195E-2</v>
      </c>
      <c r="U143" s="165">
        <f ca="1"/>
        <v>5.2939536294145939E-2</v>
      </c>
      <c r="V143" s="140">
        <f ca="1"/>
        <v>9.2612847716443403E-2</v>
      </c>
      <c r="W143" s="139">
        <f ca="1"/>
        <v>0</v>
      </c>
      <c r="X143" s="165">
        <f ca="1"/>
        <v>0</v>
      </c>
      <c r="Y143" s="165">
        <f ca="1"/>
        <v>2.2434697319880792E-3</v>
      </c>
      <c r="Z143" s="165">
        <f ca="1"/>
        <v>0</v>
      </c>
      <c r="AA143" s="165">
        <f ca="1"/>
        <v>1.2431011611174214E-2</v>
      </c>
      <c r="AB143" s="165">
        <f ca="1"/>
        <v>0</v>
      </c>
      <c r="AC143" s="165">
        <f ca="1"/>
        <v>3.0587889881039443E-2</v>
      </c>
      <c r="AD143" s="165">
        <f ca="1"/>
        <v>5.5524475835554421E-2</v>
      </c>
      <c r="AE143" s="140">
        <f ca="1"/>
        <v>9.7074008752693897E-2</v>
      </c>
      <c r="AI143" s="137"/>
      <c r="AK143" s="137"/>
      <c r="AM143" s="137"/>
      <c r="AN143" s="137"/>
      <c r="AO143" s="137"/>
      <c r="AR143" s="137"/>
      <c r="AT143" s="137"/>
      <c r="AV143" s="137"/>
      <c r="AW143" s="137"/>
      <c r="AX143" s="137"/>
    </row>
    <row r="144" spans="1:50" s="79" customFormat="1" ht="10.199999999999999" x14ac:dyDescent="0.2">
      <c r="A144" s="97">
        <f t="shared" ca="1" si="4"/>
        <v>133</v>
      </c>
      <c r="B144" s="68" t="s">
        <v>221</v>
      </c>
      <c r="C144" s="98">
        <v>0.4</v>
      </c>
      <c r="D144" s="69" t="s">
        <v>67</v>
      </c>
      <c r="E144" s="138" t="s">
        <v>87</v>
      </c>
      <c r="F144" s="158" t="s">
        <v>87</v>
      </c>
      <c r="G144" s="158">
        <v>1.1900000000000001E-3</v>
      </c>
      <c r="H144" s="158" t="s">
        <v>87</v>
      </c>
      <c r="I144" s="158">
        <v>2.4269999999999999E-3</v>
      </c>
      <c r="J144" s="158" t="s">
        <v>87</v>
      </c>
      <c r="K144" s="158">
        <v>3.522E-3</v>
      </c>
      <c r="L144" s="158">
        <v>3.6649999999999999E-3</v>
      </c>
      <c r="M144" s="158">
        <v>3.8549999999999999E-3</v>
      </c>
      <c r="N144" s="139" cm="1">
        <f t="array" aca="1" ref="N144:AE144" ca="1">IF(OR(B144="",NOT($J$2)),"",GetStripDefaultProbability(A144,B144,Parameter_Date,CDSRollDate,E144:M144,SpreadCurveMaturities,D144,C144,$J$4,$J$6))</f>
        <v>0</v>
      </c>
      <c r="O144" s="165">
        <f ca="1"/>
        <v>0</v>
      </c>
      <c r="P144" s="165">
        <f ca="1"/>
        <v>2.0983006290175021E-3</v>
      </c>
      <c r="Q144" s="165">
        <f ca="1"/>
        <v>0</v>
      </c>
      <c r="R144" s="165">
        <f ca="1"/>
        <v>1.2516002741021381E-2</v>
      </c>
      <c r="S144" s="165">
        <f ca="1"/>
        <v>0</v>
      </c>
      <c r="T144" s="165">
        <f ca="1"/>
        <v>3.0370716016315247E-2</v>
      </c>
      <c r="U144" s="165">
        <f ca="1"/>
        <v>4.3638294817355594E-2</v>
      </c>
      <c r="V144" s="140">
        <f ca="1"/>
        <v>6.488145242709098E-2</v>
      </c>
      <c r="W144" s="139">
        <f ca="1"/>
        <v>0</v>
      </c>
      <c r="X144" s="165">
        <f ca="1"/>
        <v>0</v>
      </c>
      <c r="Y144" s="165">
        <f ca="1"/>
        <v>2.2646037199506308E-3</v>
      </c>
      <c r="Z144" s="165">
        <f ca="1"/>
        <v>0</v>
      </c>
      <c r="AA144" s="165">
        <f ca="1"/>
        <v>1.3114976924208044E-2</v>
      </c>
      <c r="AB144" s="165">
        <f ca="1"/>
        <v>0</v>
      </c>
      <c r="AC144" s="165">
        <f ca="1"/>
        <v>3.1865150445014478E-2</v>
      </c>
      <c r="AD144" s="165">
        <f ca="1"/>
        <v>4.5773451334125914E-2</v>
      </c>
      <c r="AE144" s="140">
        <f ca="1"/>
        <v>6.8016875991633197E-2</v>
      </c>
      <c r="AI144" s="137"/>
      <c r="AK144" s="137"/>
      <c r="AM144" s="137"/>
      <c r="AN144" s="137"/>
      <c r="AO144" s="137"/>
      <c r="AR144" s="137"/>
      <c r="AT144" s="137"/>
      <c r="AV144" s="137"/>
      <c r="AW144" s="137"/>
      <c r="AX144" s="137"/>
    </row>
    <row r="145" spans="1:50" s="79" customFormat="1" ht="10.199999999999999" x14ac:dyDescent="0.2">
      <c r="A145" s="97">
        <f t="shared" ca="1" si="4"/>
        <v>134</v>
      </c>
      <c r="B145" s="68" t="s">
        <v>222</v>
      </c>
      <c r="C145" s="98">
        <v>0.4</v>
      </c>
      <c r="D145" s="69" t="s">
        <v>67</v>
      </c>
      <c r="E145" s="138" t="s">
        <v>87</v>
      </c>
      <c r="F145" s="158" t="s">
        <v>87</v>
      </c>
      <c r="G145" s="158">
        <v>1.103E-3</v>
      </c>
      <c r="H145" s="158" t="s">
        <v>87</v>
      </c>
      <c r="I145" s="158">
        <v>1.805E-3</v>
      </c>
      <c r="J145" s="158" t="s">
        <v>87</v>
      </c>
      <c r="K145" s="158">
        <v>2.5569999999999998E-3</v>
      </c>
      <c r="L145" s="158">
        <v>3.46E-3</v>
      </c>
      <c r="M145" s="158">
        <v>4.2620000000000002E-3</v>
      </c>
      <c r="N145" s="139" cm="1">
        <f t="array" aca="1" ref="N145:AE145" ca="1">IF(OR(B145="",NOT($J$2)),"",GetStripDefaultProbability(A145,B145,Parameter_Date,CDSRollDate,E145:M145,SpreadCurveMaturities,D145,C145,$J$4,$J$6))</f>
        <v>0</v>
      </c>
      <c r="O145" s="165">
        <f ca="1"/>
        <v>0</v>
      </c>
      <c r="P145" s="165">
        <f ca="1"/>
        <v>1.9450436136972948E-3</v>
      </c>
      <c r="Q145" s="165">
        <f ca="1"/>
        <v>0</v>
      </c>
      <c r="R145" s="165">
        <f ca="1"/>
        <v>9.2920519272504665E-3</v>
      </c>
      <c r="S145" s="165">
        <f ca="1"/>
        <v>0</v>
      </c>
      <c r="T145" s="165">
        <f ca="1"/>
        <v>2.2062474953796762E-2</v>
      </c>
      <c r="U145" s="165">
        <f ca="1"/>
        <v>4.2341214149715811E-2</v>
      </c>
      <c r="V145" s="140">
        <f ca="1"/>
        <v>7.4709459104218778E-2</v>
      </c>
      <c r="W145" s="139">
        <f ca="1"/>
        <v>0</v>
      </c>
      <c r="X145" s="165">
        <f ca="1"/>
        <v>0</v>
      </c>
      <c r="Y145" s="165">
        <f ca="1"/>
        <v>2.1113722453204309E-3</v>
      </c>
      <c r="Z145" s="165">
        <f ca="1"/>
        <v>0</v>
      </c>
      <c r="AA145" s="165">
        <f ca="1"/>
        <v>9.7872820834632446E-3</v>
      </c>
      <c r="AB145" s="165">
        <f ca="1"/>
        <v>0</v>
      </c>
      <c r="AC145" s="165">
        <f ca="1"/>
        <v>2.3144889295871329E-2</v>
      </c>
      <c r="AD145" s="165">
        <f ca="1"/>
        <v>4.4411451899602827E-2</v>
      </c>
      <c r="AE145" s="140">
        <f ca="1"/>
        <v>7.8311491488864404E-2</v>
      </c>
      <c r="AI145" s="137"/>
      <c r="AK145" s="137"/>
      <c r="AM145" s="137"/>
      <c r="AN145" s="137"/>
      <c r="AO145" s="137"/>
      <c r="AR145" s="137"/>
      <c r="AT145" s="137"/>
      <c r="AV145" s="137"/>
      <c r="AW145" s="137"/>
      <c r="AX145" s="137"/>
    </row>
    <row r="146" spans="1:50" s="79" customFormat="1" ht="10.199999999999999" x14ac:dyDescent="0.2">
      <c r="A146" s="97">
        <f t="shared" ca="1" si="4"/>
        <v>135</v>
      </c>
      <c r="B146" s="68" t="s">
        <v>223</v>
      </c>
      <c r="C146" s="98">
        <v>0.4</v>
      </c>
      <c r="D146" s="69" t="s">
        <v>67</v>
      </c>
      <c r="E146" s="138" t="s">
        <v>87</v>
      </c>
      <c r="F146" s="158" t="s">
        <v>87</v>
      </c>
      <c r="G146" s="158">
        <v>1.1720000000000001E-3</v>
      </c>
      <c r="H146" s="158" t="s">
        <v>87</v>
      </c>
      <c r="I146" s="158">
        <v>3.0980000000000001E-3</v>
      </c>
      <c r="J146" s="158" t="s">
        <v>87</v>
      </c>
      <c r="K146" s="158">
        <v>3.908E-3</v>
      </c>
      <c r="L146" s="158">
        <v>4.8139999999999997E-3</v>
      </c>
      <c r="M146" s="158">
        <v>6.1479999999999998E-3</v>
      </c>
      <c r="N146" s="139" cm="1">
        <f t="array" aca="1" ref="N146:AE146" ca="1">IF(OR(B146="",NOT($J$2)),"",GetStripDefaultProbability(A146,B146,Parameter_Date,CDSRollDate,E146:M146,SpreadCurveMaturities,D146,C146,$J$4,$J$6))</f>
        <v>0</v>
      </c>
      <c r="O146" s="165">
        <f ca="1"/>
        <v>0</v>
      </c>
      <c r="P146" s="165">
        <f ca="1"/>
        <v>2.0665941966084844E-3</v>
      </c>
      <c r="Q146" s="165">
        <f ca="1"/>
        <v>0</v>
      </c>
      <c r="R146" s="165">
        <f ca="1"/>
        <v>1.6001168093167872E-2</v>
      </c>
      <c r="S146" s="165">
        <f ca="1"/>
        <v>0</v>
      </c>
      <c r="T146" s="165">
        <f ca="1"/>
        <v>3.3442274697193075E-2</v>
      </c>
      <c r="U146" s="165">
        <f ca="1"/>
        <v>5.7886998244593646E-2</v>
      </c>
      <c r="V146" s="140">
        <f ca="1"/>
        <v>0.10635363891146699</v>
      </c>
      <c r="W146" s="139">
        <f ca="1"/>
        <v>0</v>
      </c>
      <c r="X146" s="165">
        <f ca="1"/>
        <v>0</v>
      </c>
      <c r="Y146" s="165">
        <f ca="1"/>
        <v>2.2329025714868944E-3</v>
      </c>
      <c r="Z146" s="165">
        <f ca="1"/>
        <v>0</v>
      </c>
      <c r="AA146" s="165">
        <f ca="1"/>
        <v>1.6789429871667205E-2</v>
      </c>
      <c r="AB146" s="165">
        <f ca="1"/>
        <v>0</v>
      </c>
      <c r="AC146" s="165">
        <f ca="1"/>
        <v>3.5082965619732787E-2</v>
      </c>
      <c r="AD146" s="165">
        <f ca="1"/>
        <v>6.0702486930751309E-2</v>
      </c>
      <c r="AE146" s="140">
        <f ca="1"/>
        <v>0.1114474713150605</v>
      </c>
      <c r="AI146" s="137"/>
      <c r="AK146" s="137"/>
      <c r="AM146" s="137"/>
      <c r="AN146" s="137"/>
      <c r="AO146" s="137"/>
      <c r="AR146" s="137"/>
      <c r="AT146" s="137"/>
      <c r="AV146" s="137"/>
      <c r="AW146" s="137"/>
      <c r="AX146" s="137"/>
    </row>
    <row r="147" spans="1:50" s="79" customFormat="1" ht="10.199999999999999" x14ac:dyDescent="0.2">
      <c r="A147" s="97">
        <f t="shared" ca="1" si="4"/>
        <v>136</v>
      </c>
      <c r="B147" s="68" t="s">
        <v>224</v>
      </c>
      <c r="C147" s="98">
        <v>0.4</v>
      </c>
      <c r="D147" s="69" t="s">
        <v>67</v>
      </c>
      <c r="E147" s="138" t="s">
        <v>87</v>
      </c>
      <c r="F147" s="158" t="s">
        <v>87</v>
      </c>
      <c r="G147" s="158">
        <v>1.0380000000000001E-3</v>
      </c>
      <c r="H147" s="158" t="s">
        <v>87</v>
      </c>
      <c r="I147" s="158">
        <v>2.8470000000000001E-3</v>
      </c>
      <c r="J147" s="158" t="s">
        <v>87</v>
      </c>
      <c r="K147" s="158">
        <v>4.3429999999999996E-3</v>
      </c>
      <c r="L147" s="158">
        <v>5.4520000000000002E-3</v>
      </c>
      <c r="M147" s="158">
        <v>7.1890000000000001E-3</v>
      </c>
      <c r="N147" s="139" cm="1">
        <f t="array" aca="1" ref="N147:AE147" ca="1">IF(OR(B147="",NOT($J$2)),"",GetStripDefaultProbability(A147,B147,Parameter_Date,CDSRollDate,E147:M147,SpreadCurveMaturities,D147,C147,$J$4,$J$6))</f>
        <v>0</v>
      </c>
      <c r="O147" s="165">
        <f ca="1"/>
        <v>0</v>
      </c>
      <c r="P147" s="165">
        <f ca="1"/>
        <v>1.830526005779598E-3</v>
      </c>
      <c r="Q147" s="165">
        <f ca="1"/>
        <v>0</v>
      </c>
      <c r="R147" s="165">
        <f ca="1"/>
        <v>1.4717331084114216E-2</v>
      </c>
      <c r="S147" s="165">
        <f ca="1"/>
        <v>0</v>
      </c>
      <c r="T147" s="165">
        <f ca="1"/>
        <v>3.7496991187737527E-2</v>
      </c>
      <c r="U147" s="165">
        <f ca="1"/>
        <v>6.5894725613158678E-2</v>
      </c>
      <c r="V147" s="140">
        <f ca="1"/>
        <v>0.12469948457138047</v>
      </c>
      <c r="W147" s="139">
        <f ca="1"/>
        <v>0</v>
      </c>
      <c r="X147" s="165">
        <f ca="1"/>
        <v>0</v>
      </c>
      <c r="Y147" s="165">
        <f ca="1"/>
        <v>1.9968737220774635E-3</v>
      </c>
      <c r="Z147" s="165">
        <f ca="1"/>
        <v>0</v>
      </c>
      <c r="AA147" s="165">
        <f ca="1"/>
        <v>1.5441629401452328E-2</v>
      </c>
      <c r="AB147" s="165">
        <f ca="1"/>
        <v>0</v>
      </c>
      <c r="AC147" s="165">
        <f ca="1"/>
        <v>3.9333977927963004E-2</v>
      </c>
      <c r="AD147" s="165">
        <f ca="1"/>
        <v>6.9091927114283136E-2</v>
      </c>
      <c r="AE147" s="140">
        <f ca="1"/>
        <v>0.13063967651763364</v>
      </c>
      <c r="AI147" s="137"/>
      <c r="AK147" s="137"/>
      <c r="AM147" s="137"/>
      <c r="AN147" s="137"/>
      <c r="AO147" s="137"/>
      <c r="AR147" s="137"/>
      <c r="AT147" s="137"/>
      <c r="AV147" s="137"/>
      <c r="AW147" s="137"/>
      <c r="AX147" s="137"/>
    </row>
    <row r="148" spans="1:50" s="79" customFormat="1" ht="10.199999999999999" x14ac:dyDescent="0.2">
      <c r="A148" s="97">
        <f t="shared" ca="1" si="4"/>
        <v>137</v>
      </c>
      <c r="B148" s="68" t="s">
        <v>225</v>
      </c>
      <c r="C148" s="98">
        <v>0.4</v>
      </c>
      <c r="D148" s="69" t="s">
        <v>67</v>
      </c>
      <c r="E148" s="138" t="s">
        <v>87</v>
      </c>
      <c r="F148" s="158" t="s">
        <v>87</v>
      </c>
      <c r="G148" s="158">
        <v>9.5500000000000001E-4</v>
      </c>
      <c r="H148" s="158" t="s">
        <v>87</v>
      </c>
      <c r="I148" s="158">
        <v>1.8079999999999999E-3</v>
      </c>
      <c r="J148" s="158" t="s">
        <v>87</v>
      </c>
      <c r="K148" s="158">
        <v>3.4740000000000001E-3</v>
      </c>
      <c r="L148" s="158">
        <v>4.7109999999999999E-3</v>
      </c>
      <c r="M148" s="158">
        <v>6.3769999999999999E-3</v>
      </c>
      <c r="N148" s="139" cm="1">
        <f t="array" aca="1" ref="N148:AE148" ca="1">IF(OR(B148="",NOT($J$2)),"",GetStripDefaultProbability(A148,B148,Parameter_Date,CDSRollDate,E148:M148,SpreadCurveMaturities,D148,C148,$J$4,$J$6))</f>
        <v>0</v>
      </c>
      <c r="O148" s="165">
        <f ca="1"/>
        <v>0</v>
      </c>
      <c r="P148" s="165">
        <f ca="1"/>
        <v>1.6842768773231986E-3</v>
      </c>
      <c r="Q148" s="165">
        <f ca="1"/>
        <v>0</v>
      </c>
      <c r="R148" s="165">
        <f ca="1"/>
        <v>9.3269418246371139E-3</v>
      </c>
      <c r="S148" s="165">
        <f ca="1"/>
        <v>0</v>
      </c>
      <c r="T148" s="165">
        <f ca="1"/>
        <v>3.0328240858738864E-2</v>
      </c>
      <c r="U148" s="165">
        <f ca="1"/>
        <v>5.7807695937340031E-2</v>
      </c>
      <c r="V148" s="140">
        <f ca="1"/>
        <v>0.11229474631824643</v>
      </c>
      <c r="W148" s="139">
        <f ca="1"/>
        <v>0</v>
      </c>
      <c r="X148" s="165">
        <f ca="1"/>
        <v>0</v>
      </c>
      <c r="Y148" s="165">
        <f ca="1"/>
        <v>1.8506489664648074E-3</v>
      </c>
      <c r="Z148" s="165">
        <f ca="1"/>
        <v>0</v>
      </c>
      <c r="AA148" s="165">
        <f ca="1"/>
        <v>9.8221545402188415E-3</v>
      </c>
      <c r="AB148" s="165">
        <f ca="1"/>
        <v>0</v>
      </c>
      <c r="AC148" s="165">
        <f ca="1"/>
        <v>3.1813891627688995E-2</v>
      </c>
      <c r="AD148" s="165">
        <f ca="1"/>
        <v>6.0621199736286657E-2</v>
      </c>
      <c r="AE148" s="140">
        <f ca="1"/>
        <v>0.11767716447062038</v>
      </c>
      <c r="AI148" s="137"/>
      <c r="AK148" s="137"/>
      <c r="AM148" s="137"/>
      <c r="AN148" s="137"/>
      <c r="AO148" s="137"/>
      <c r="AR148" s="137"/>
      <c r="AT148" s="137"/>
      <c r="AV148" s="137"/>
      <c r="AW148" s="137"/>
      <c r="AX148" s="137"/>
    </row>
    <row r="149" spans="1:50" s="79" customFormat="1" ht="10.199999999999999" x14ac:dyDescent="0.2">
      <c r="A149" s="97">
        <f t="shared" ca="1" si="4"/>
        <v>138</v>
      </c>
      <c r="B149" s="68" t="s">
        <v>226</v>
      </c>
      <c r="C149" s="98">
        <v>0.4</v>
      </c>
      <c r="D149" s="69" t="s">
        <v>67</v>
      </c>
      <c r="E149" s="138" t="s">
        <v>87</v>
      </c>
      <c r="F149" s="158" t="s">
        <v>87</v>
      </c>
      <c r="G149" s="158">
        <v>6.3100000000000005E-4</v>
      </c>
      <c r="H149" s="158" t="s">
        <v>87</v>
      </c>
      <c r="I149" s="158">
        <v>1.8730000000000001E-3</v>
      </c>
      <c r="J149" s="158" t="s">
        <v>87</v>
      </c>
      <c r="K149" s="158">
        <v>3.4259999999999998E-3</v>
      </c>
      <c r="L149" s="158">
        <v>4.339E-3</v>
      </c>
      <c r="M149" s="158">
        <v>5.8009999999999997E-3</v>
      </c>
      <c r="N149" s="139" cm="1">
        <f t="array" aca="1" ref="N149:AE149" ca="1">IF(OR(B149="",NOT($J$2)),"",GetStripDefaultProbability(A149,B149,Parameter_Date,CDSRollDate,E149:M149,SpreadCurveMaturities,D149,C149,$J$4,$J$6))</f>
        <v>0</v>
      </c>
      <c r="O149" s="165">
        <f ca="1"/>
        <v>0</v>
      </c>
      <c r="P149" s="165">
        <f ca="1"/>
        <v>1.1131731295057623E-3</v>
      </c>
      <c r="Q149" s="165">
        <f ca="1"/>
        <v>0</v>
      </c>
      <c r="R149" s="165">
        <f ca="1"/>
        <v>9.707698900832562E-3</v>
      </c>
      <c r="S149" s="165">
        <f ca="1"/>
        <v>0</v>
      </c>
      <c r="T149" s="165">
        <f ca="1"/>
        <v>2.9903944531741389E-2</v>
      </c>
      <c r="U149" s="165">
        <f ca="1"/>
        <v>5.2988771397656897E-2</v>
      </c>
      <c r="V149" s="140">
        <f ca="1"/>
        <v>0.10199035801872314</v>
      </c>
      <c r="W149" s="139">
        <f ca="1"/>
        <v>0</v>
      </c>
      <c r="X149" s="165">
        <f ca="1"/>
        <v>0</v>
      </c>
      <c r="Y149" s="165">
        <f ca="1"/>
        <v>1.2796403946595536E-3</v>
      </c>
      <c r="Z149" s="165">
        <f ca="1"/>
        <v>0</v>
      </c>
      <c r="AA149" s="165">
        <f ca="1"/>
        <v>1.0202721285442085E-2</v>
      </c>
      <c r="AB149" s="165">
        <f ca="1"/>
        <v>0</v>
      </c>
      <c r="AC149" s="165">
        <f ca="1"/>
        <v>3.1368801302901983E-2</v>
      </c>
      <c r="AD149" s="165">
        <f ca="1"/>
        <v>5.5570536867120213E-2</v>
      </c>
      <c r="AE149" s="140">
        <f ca="1"/>
        <v>0.10689162989519707</v>
      </c>
      <c r="AI149" s="137"/>
      <c r="AK149" s="137"/>
      <c r="AM149" s="137"/>
      <c r="AN149" s="137"/>
      <c r="AO149" s="137"/>
      <c r="AR149" s="137"/>
      <c r="AT149" s="137"/>
      <c r="AV149" s="137"/>
      <c r="AW149" s="137"/>
      <c r="AX149" s="137"/>
    </row>
    <row r="150" spans="1:50" s="79" customFormat="1" ht="10.199999999999999" x14ac:dyDescent="0.2">
      <c r="A150" s="97">
        <f t="shared" ca="1" si="4"/>
        <v>139</v>
      </c>
      <c r="B150" s="68" t="s">
        <v>227</v>
      </c>
      <c r="C150" s="98">
        <v>0.4</v>
      </c>
      <c r="D150" s="69" t="s">
        <v>67</v>
      </c>
      <c r="E150" s="138" t="s">
        <v>87</v>
      </c>
      <c r="F150" s="158" t="s">
        <v>87</v>
      </c>
      <c r="G150" s="158">
        <v>3.28E-4</v>
      </c>
      <c r="H150" s="158" t="s">
        <v>87</v>
      </c>
      <c r="I150" s="158">
        <v>9.8400000000000007E-4</v>
      </c>
      <c r="J150" s="158" t="s">
        <v>87</v>
      </c>
      <c r="K150" s="158">
        <v>1.6410000000000001E-3</v>
      </c>
      <c r="L150" s="158">
        <v>2.2030000000000001E-3</v>
      </c>
      <c r="M150" s="158">
        <v>2.9529999999999999E-3</v>
      </c>
      <c r="N150" s="139" cm="1">
        <f t="array" aca="1" ref="N150:AE150" ca="1">IF(OR(B150="",NOT($J$2)),"",GetStripDefaultProbability(A150,B150,Parameter_Date,CDSRollDate,E150:M150,SpreadCurveMaturities,D150,C150,$J$4,$J$6))</f>
        <v>0</v>
      </c>
      <c r="O150" s="165">
        <f ca="1"/>
        <v>0</v>
      </c>
      <c r="P150" s="165">
        <f ca="1"/>
        <v>5.7879195131904648E-4</v>
      </c>
      <c r="Q150" s="165">
        <f ca="1"/>
        <v>0</v>
      </c>
      <c r="R150" s="165">
        <f ca="1"/>
        <v>5.1093286075120092E-3</v>
      </c>
      <c r="S150" s="165">
        <f ca="1"/>
        <v>0</v>
      </c>
      <c r="T150" s="165">
        <f ca="1"/>
        <v>1.4346097076826769E-2</v>
      </c>
      <c r="U150" s="165">
        <f ca="1"/>
        <v>2.7231720242548163E-2</v>
      </c>
      <c r="V150" s="140">
        <f ca="1"/>
        <v>5.2937152924326325E-2</v>
      </c>
      <c r="W150" s="139">
        <f ca="1"/>
        <v>0</v>
      </c>
      <c r="X150" s="165">
        <f ca="1"/>
        <v>0</v>
      </c>
      <c r="Y150" s="165">
        <f ca="1"/>
        <v>7.4534827258310177E-4</v>
      </c>
      <c r="Z150" s="165">
        <f ca="1"/>
        <v>0</v>
      </c>
      <c r="AA150" s="165">
        <f ca="1"/>
        <v>5.6066496026114798E-3</v>
      </c>
      <c r="AB150" s="165">
        <f ca="1"/>
        <v>0</v>
      </c>
      <c r="AC150" s="165">
        <f ca="1"/>
        <v>1.5167133183344839E-2</v>
      </c>
      <c r="AD150" s="165">
        <f ca="1"/>
        <v>2.85250200448669E-2</v>
      </c>
      <c r="AE150" s="140">
        <f ca="1"/>
        <v>5.5470059875167066E-2</v>
      </c>
      <c r="AI150" s="137"/>
      <c r="AK150" s="137"/>
      <c r="AM150" s="137"/>
      <c r="AN150" s="137"/>
      <c r="AO150" s="137"/>
      <c r="AR150" s="137"/>
      <c r="AT150" s="137"/>
      <c r="AV150" s="137"/>
      <c r="AW150" s="137"/>
      <c r="AX150" s="137"/>
    </row>
    <row r="151" spans="1:50" s="79" customFormat="1" ht="10.199999999999999" x14ac:dyDescent="0.2">
      <c r="A151" s="97">
        <f t="shared" ca="1" si="4"/>
        <v>140</v>
      </c>
      <c r="B151" s="68" t="s">
        <v>228</v>
      </c>
      <c r="C151" s="98">
        <v>0.4</v>
      </c>
      <c r="D151" s="69" t="s">
        <v>67</v>
      </c>
      <c r="E151" s="138" t="s">
        <v>87</v>
      </c>
      <c r="F151" s="158" t="s">
        <v>87</v>
      </c>
      <c r="G151" s="158">
        <v>3.0200000000000001E-3</v>
      </c>
      <c r="H151" s="158" t="s">
        <v>87</v>
      </c>
      <c r="I151" s="158">
        <v>9.3609999999999995E-3</v>
      </c>
      <c r="J151" s="158" t="s">
        <v>87</v>
      </c>
      <c r="K151" s="158">
        <v>1.5102000000000001E-2</v>
      </c>
      <c r="L151" s="158">
        <v>1.737E-2</v>
      </c>
      <c r="M151" s="158">
        <v>1.9540999999999999E-2</v>
      </c>
      <c r="N151" s="139" cm="1">
        <f t="array" aca="1" ref="N151:AE151" ca="1">IF(OR(B151="",NOT($J$2)),"",GetStripDefaultProbability(A151,B151,Parameter_Date,CDSRollDate,E151:M151,SpreadCurveMaturities,D151,C151,$J$4,$J$6))</f>
        <v>0</v>
      </c>
      <c r="O151" s="165">
        <f ca="1"/>
        <v>0</v>
      </c>
      <c r="P151" s="165">
        <f ca="1"/>
        <v>5.3165807102705243E-3</v>
      </c>
      <c r="Q151" s="165">
        <f ca="1"/>
        <v>0</v>
      </c>
      <c r="R151" s="165">
        <f ca="1"/>
        <v>4.7822466840722222E-2</v>
      </c>
      <c r="S151" s="165">
        <f ca="1"/>
        <v>0</v>
      </c>
      <c r="T151" s="165">
        <f ca="1"/>
        <v>0.12656202711500497</v>
      </c>
      <c r="U151" s="165">
        <f ca="1"/>
        <v>0.19727431822354402</v>
      </c>
      <c r="V151" s="140">
        <f ca="1"/>
        <v>0.30192820026509115</v>
      </c>
      <c r="W151" s="139">
        <f ca="1"/>
        <v>0</v>
      </c>
      <c r="X151" s="165">
        <f ca="1"/>
        <v>0</v>
      </c>
      <c r="Y151" s="165">
        <f ca="1"/>
        <v>5.5668778737451019E-3</v>
      </c>
      <c r="Z151" s="165">
        <f ca="1"/>
        <v>0</v>
      </c>
      <c r="AA151" s="165">
        <f ca="1"/>
        <v>5.0168791395311274E-2</v>
      </c>
      <c r="AB151" s="165">
        <f ca="1"/>
        <v>0</v>
      </c>
      <c r="AC151" s="165">
        <f ca="1"/>
        <v>0.13258774641489601</v>
      </c>
      <c r="AD151" s="165">
        <f ca="1"/>
        <v>0.20632049079134729</v>
      </c>
      <c r="AE151" s="140">
        <f ca="1"/>
        <v>0.31493253585093262</v>
      </c>
      <c r="AI151" s="137"/>
      <c r="AK151" s="137"/>
      <c r="AM151" s="137"/>
      <c r="AN151" s="137"/>
      <c r="AO151" s="137"/>
      <c r="AR151" s="137"/>
      <c r="AT151" s="137"/>
      <c r="AV151" s="137"/>
      <c r="AW151" s="137"/>
      <c r="AX151" s="137"/>
    </row>
    <row r="152" spans="1:50" s="79" customFormat="1" ht="10.199999999999999" x14ac:dyDescent="0.2">
      <c r="A152" s="97">
        <f t="shared" ca="1" si="4"/>
        <v>141</v>
      </c>
      <c r="B152" s="68" t="s">
        <v>229</v>
      </c>
      <c r="C152" s="98">
        <v>0.4</v>
      </c>
      <c r="D152" s="69" t="s">
        <v>67</v>
      </c>
      <c r="E152" s="138" t="s">
        <v>87</v>
      </c>
      <c r="F152" s="158" t="s">
        <v>87</v>
      </c>
      <c r="G152" s="158">
        <v>5.31E-4</v>
      </c>
      <c r="H152" s="158" t="s">
        <v>87</v>
      </c>
      <c r="I152" s="158">
        <v>6.7599999999999995E-4</v>
      </c>
      <c r="J152" s="158" t="s">
        <v>87</v>
      </c>
      <c r="K152" s="158">
        <v>1.158E-3</v>
      </c>
      <c r="L152" s="158">
        <v>1.4959999999999999E-3</v>
      </c>
      <c r="M152" s="158">
        <v>1.9780000000000002E-3</v>
      </c>
      <c r="N152" s="139" cm="1">
        <f t="array" aca="1" ref="N152:AE152" ca="1">IF(OR(B152="",NOT($J$2)),"",GetStripDefaultProbability(A152,B152,Parameter_Date,CDSRollDate,E152:M152,SpreadCurveMaturities,D152,C152,$J$4,$J$6))</f>
        <v>0</v>
      </c>
      <c r="O152" s="165">
        <f ca="1"/>
        <v>0</v>
      </c>
      <c r="P152" s="165">
        <f ca="1"/>
        <v>9.3684106812486068E-4</v>
      </c>
      <c r="Q152" s="165">
        <f ca="1"/>
        <v>0</v>
      </c>
      <c r="R152" s="165">
        <f ca="1"/>
        <v>3.4738724007251642E-3</v>
      </c>
      <c r="S152" s="165">
        <f ca="1"/>
        <v>0</v>
      </c>
      <c r="T152" s="165">
        <f ca="1"/>
        <v>1.0109943932507526E-2</v>
      </c>
      <c r="U152" s="165">
        <f ca="1"/>
        <v>1.8458608649152275E-2</v>
      </c>
      <c r="V152" s="140">
        <f ca="1"/>
        <v>3.5515436014093127E-2</v>
      </c>
      <c r="W152" s="139">
        <f ca="1"/>
        <v>0</v>
      </c>
      <c r="X152" s="165">
        <f ca="1"/>
        <v>0</v>
      </c>
      <c r="Y152" s="165">
        <f ca="1"/>
        <v>1.1033377195059924E-3</v>
      </c>
      <c r="Z152" s="165">
        <f ca="1"/>
        <v>0</v>
      </c>
      <c r="AA152" s="165">
        <f ca="1"/>
        <v>3.972010919547464E-3</v>
      </c>
      <c r="AB152" s="165">
        <f ca="1"/>
        <v>0</v>
      </c>
      <c r="AC152" s="165">
        <f ca="1"/>
        <v>1.0934508696154976E-2</v>
      </c>
      <c r="AD152" s="165">
        <f ca="1"/>
        <v>1.9626268956782766E-2</v>
      </c>
      <c r="AE152" s="140">
        <f ca="1"/>
        <v>3.7151119938258592E-2</v>
      </c>
      <c r="AI152" s="137"/>
      <c r="AK152" s="137"/>
      <c r="AM152" s="137"/>
      <c r="AN152" s="137"/>
      <c r="AO152" s="137"/>
      <c r="AR152" s="137"/>
      <c r="AT152" s="137"/>
      <c r="AV152" s="137"/>
      <c r="AW152" s="137"/>
      <c r="AX152" s="137"/>
    </row>
    <row r="153" spans="1:50" s="79" customFormat="1" ht="10.199999999999999" x14ac:dyDescent="0.2">
      <c r="A153" s="97">
        <f t="shared" ca="1" si="4"/>
        <v>142</v>
      </c>
      <c r="B153" s="68" t="s">
        <v>230</v>
      </c>
      <c r="C153" s="98">
        <v>0.4</v>
      </c>
      <c r="D153" s="69" t="s">
        <v>67</v>
      </c>
      <c r="E153" s="138" t="s">
        <v>87</v>
      </c>
      <c r="F153" s="158" t="s">
        <v>87</v>
      </c>
      <c r="G153" s="158">
        <v>4.7899999999999999E-4</v>
      </c>
      <c r="H153" s="158" t="s">
        <v>87</v>
      </c>
      <c r="I153" s="158">
        <v>1.245E-3</v>
      </c>
      <c r="J153" s="158" t="s">
        <v>87</v>
      </c>
      <c r="K153" s="158">
        <v>2.075E-3</v>
      </c>
      <c r="L153" s="158">
        <v>2.581E-3</v>
      </c>
      <c r="M153" s="158">
        <v>3.0869999999999999E-3</v>
      </c>
      <c r="N153" s="139" cm="1">
        <f t="array" aca="1" ref="N153:AE153" ca="1">IF(OR(B153="",NOT($J$2)),"",GetStripDefaultProbability(A153,B153,Parameter_Date,CDSRollDate,E153:M153,SpreadCurveMaturities,D153,C153,$J$4,$J$6))</f>
        <v>0</v>
      </c>
      <c r="O153" s="165">
        <f ca="1"/>
        <v>0</v>
      </c>
      <c r="P153" s="165">
        <f ca="1"/>
        <v>8.4513618602499729E-4</v>
      </c>
      <c r="Q153" s="165">
        <f ca="1"/>
        <v>0</v>
      </c>
      <c r="R153" s="165">
        <f ca="1"/>
        <v>6.4530828628402981E-3</v>
      </c>
      <c r="S153" s="165">
        <f ca="1"/>
        <v>0</v>
      </c>
      <c r="T153" s="165">
        <f ca="1"/>
        <v>1.8107991403894408E-2</v>
      </c>
      <c r="U153" s="165">
        <f ca="1"/>
        <v>3.1630467118074268E-2</v>
      </c>
      <c r="V153" s="140">
        <f ca="1"/>
        <v>5.4209674866130708E-2</v>
      </c>
      <c r="W153" s="139">
        <f ca="1"/>
        <v>0</v>
      </c>
      <c r="X153" s="165">
        <f ca="1"/>
        <v>0</v>
      </c>
      <c r="Y153" s="165">
        <f ca="1"/>
        <v>1.0116481202604444E-3</v>
      </c>
      <c r="Z153" s="165">
        <f ca="1"/>
        <v>0</v>
      </c>
      <c r="AA153" s="165">
        <f ca="1"/>
        <v>6.9497321487413943E-3</v>
      </c>
      <c r="AB153" s="165">
        <f ca="1"/>
        <v>0</v>
      </c>
      <c r="AC153" s="165">
        <f ca="1"/>
        <v>1.8977436545024151E-2</v>
      </c>
      <c r="AD153" s="165">
        <f ca="1"/>
        <v>3.3162473383254953E-2</v>
      </c>
      <c r="AE153" s="140">
        <f ca="1"/>
        <v>5.6825565959815916E-2</v>
      </c>
      <c r="AI153" s="137"/>
      <c r="AK153" s="137"/>
      <c r="AM153" s="137"/>
      <c r="AN153" s="137"/>
      <c r="AO153" s="137"/>
      <c r="AR153" s="137"/>
      <c r="AT153" s="137"/>
      <c r="AV153" s="137"/>
      <c r="AW153" s="137"/>
      <c r="AX153" s="137"/>
    </row>
    <row r="154" spans="1:50" s="79" customFormat="1" ht="10.199999999999999" x14ac:dyDescent="0.2">
      <c r="A154" s="97">
        <f t="shared" ca="1" si="4"/>
        <v>143</v>
      </c>
      <c r="B154" s="68" t="s">
        <v>231</v>
      </c>
      <c r="C154" s="98">
        <v>0.4</v>
      </c>
      <c r="D154" s="69" t="s">
        <v>67</v>
      </c>
      <c r="E154" s="138" t="s">
        <v>87</v>
      </c>
      <c r="F154" s="158" t="s">
        <v>87</v>
      </c>
      <c r="G154" s="158">
        <v>9.1699999999999995E-4</v>
      </c>
      <c r="H154" s="158" t="s">
        <v>87</v>
      </c>
      <c r="I154" s="158">
        <v>1.689E-3</v>
      </c>
      <c r="J154" s="158" t="s">
        <v>87</v>
      </c>
      <c r="K154" s="158">
        <v>2.4610000000000001E-3</v>
      </c>
      <c r="L154" s="158">
        <v>3.4450000000000001E-3</v>
      </c>
      <c r="M154" s="158">
        <v>4.6750000000000003E-3</v>
      </c>
      <c r="N154" s="139" cm="1">
        <f t="array" aca="1" ref="N154:AE154" ca="1">IF(OR(B154="",NOT($J$2)),"",GetStripDefaultProbability(A154,B154,Parameter_Date,CDSRollDate,E154:M154,SpreadCurveMaturities,D154,C154,$J$4,$J$6))</f>
        <v>0</v>
      </c>
      <c r="O154" s="165">
        <f ca="1"/>
        <v>0</v>
      </c>
      <c r="P154" s="165">
        <f ca="1"/>
        <v>1.6173123498463005E-3</v>
      </c>
      <c r="Q154" s="165">
        <f ca="1"/>
        <v>0</v>
      </c>
      <c r="R154" s="165">
        <f ca="1"/>
        <v>8.7120287845277034E-3</v>
      </c>
      <c r="S154" s="165">
        <f ca="1"/>
        <v>0</v>
      </c>
      <c r="T154" s="165">
        <f ca="1"/>
        <v>2.1286946370622339E-2</v>
      </c>
      <c r="U154" s="165">
        <f ca="1"/>
        <v>4.2337508815250779E-2</v>
      </c>
      <c r="V154" s="140">
        <f ca="1"/>
        <v>8.303157836884778E-2</v>
      </c>
      <c r="W154" s="139">
        <f ca="1"/>
        <v>0</v>
      </c>
      <c r="X154" s="165">
        <f ca="1"/>
        <v>0</v>
      </c>
      <c r="Y154" s="165">
        <f ca="1"/>
        <v>1.7836955988180803E-3</v>
      </c>
      <c r="Z154" s="165">
        <f ca="1"/>
        <v>0</v>
      </c>
      <c r="AA154" s="165">
        <f ca="1"/>
        <v>9.2075488797790372E-3</v>
      </c>
      <c r="AB154" s="165">
        <f ca="1"/>
        <v>0</v>
      </c>
      <c r="AC154" s="165">
        <f ca="1"/>
        <v>2.2327083954432059E-2</v>
      </c>
      <c r="AD154" s="165">
        <f ca="1"/>
        <v>4.4403722298021364E-2</v>
      </c>
      <c r="AE154" s="140">
        <f ca="1"/>
        <v>8.7047551578645521E-2</v>
      </c>
      <c r="AI154" s="137"/>
      <c r="AK154" s="137"/>
      <c r="AM154" s="137"/>
      <c r="AN154" s="137"/>
      <c r="AO154" s="137"/>
      <c r="AR154" s="137"/>
      <c r="AT154" s="137"/>
      <c r="AV154" s="137"/>
      <c r="AW154" s="137"/>
      <c r="AX154" s="137"/>
    </row>
    <row r="155" spans="1:50" s="79" customFormat="1" ht="10.199999999999999" x14ac:dyDescent="0.2">
      <c r="A155" s="97">
        <f t="shared" ca="1" si="4"/>
        <v>144</v>
      </c>
      <c r="B155" s="68" t="s">
        <v>232</v>
      </c>
      <c r="C155" s="98">
        <v>0.4</v>
      </c>
      <c r="D155" s="69" t="s">
        <v>67</v>
      </c>
      <c r="E155" s="138" t="s">
        <v>87</v>
      </c>
      <c r="F155" s="158" t="s">
        <v>87</v>
      </c>
      <c r="G155" s="158">
        <v>4.0900000000000002E-4</v>
      </c>
      <c r="H155" s="158" t="s">
        <v>87</v>
      </c>
      <c r="I155" s="158">
        <v>1.271E-3</v>
      </c>
      <c r="J155" s="158" t="s">
        <v>87</v>
      </c>
      <c r="K155" s="158">
        <v>1.882E-3</v>
      </c>
      <c r="L155" s="158">
        <v>2.6949999999999999E-3</v>
      </c>
      <c r="M155" s="158">
        <v>3.3059999999999999E-3</v>
      </c>
      <c r="N155" s="139" cm="1">
        <f t="array" aca="1" ref="N155:AE155" ca="1">IF(OR(B155="",NOT($J$2)),"",GetStripDefaultProbability(A155,B155,Parameter_Date,CDSRollDate,E155:M155,SpreadCurveMaturities,D155,C155,$J$4,$J$6))</f>
        <v>0</v>
      </c>
      <c r="O155" s="165">
        <f ca="1"/>
        <v>0</v>
      </c>
      <c r="P155" s="165">
        <f ca="1"/>
        <v>7.2167411107271207E-4</v>
      </c>
      <c r="Q155" s="165">
        <f ca="1"/>
        <v>0</v>
      </c>
      <c r="R155" s="165">
        <f ca="1"/>
        <v>6.5977396735177329E-3</v>
      </c>
      <c r="S155" s="165">
        <f ca="1"/>
        <v>0</v>
      </c>
      <c r="T155" s="165">
        <f ca="1"/>
        <v>1.6358673231343102E-2</v>
      </c>
      <c r="U155" s="165">
        <f ca="1"/>
        <v>3.3338792337251011E-2</v>
      </c>
      <c r="V155" s="140">
        <f ca="1"/>
        <v>5.8521570309462367E-2</v>
      </c>
      <c r="W155" s="139">
        <f ca="1"/>
        <v>0</v>
      </c>
      <c r="X155" s="165">
        <f ca="1"/>
        <v>0</v>
      </c>
      <c r="Y155" s="165">
        <f ca="1"/>
        <v>8.8820662060995481E-4</v>
      </c>
      <c r="Z155" s="165">
        <f ca="1"/>
        <v>0</v>
      </c>
      <c r="AA155" s="165">
        <f ca="1"/>
        <v>7.0943166490554654E-3</v>
      </c>
      <c r="AB155" s="165">
        <f ca="1"/>
        <v>0</v>
      </c>
      <c r="AC155" s="165">
        <f ca="1"/>
        <v>1.7178032889725747E-2</v>
      </c>
      <c r="AD155" s="165">
        <f ca="1"/>
        <v>3.4950538740834647E-2</v>
      </c>
      <c r="AE155" s="140">
        <f ca="1"/>
        <v>6.1340569647281074E-2</v>
      </c>
      <c r="AI155" s="137"/>
      <c r="AK155" s="137"/>
      <c r="AM155" s="137"/>
      <c r="AN155" s="137"/>
      <c r="AO155" s="137"/>
      <c r="AR155" s="137"/>
      <c r="AT155" s="137"/>
      <c r="AV155" s="137"/>
      <c r="AW155" s="137"/>
      <c r="AX155" s="137"/>
    </row>
    <row r="156" spans="1:50" s="79" customFormat="1" ht="10.199999999999999" x14ac:dyDescent="0.2">
      <c r="A156" s="97">
        <f t="shared" ca="1" si="4"/>
        <v>145</v>
      </c>
      <c r="B156" s="68" t="s">
        <v>233</v>
      </c>
      <c r="C156" s="98">
        <v>0.4</v>
      </c>
      <c r="D156" s="69" t="s">
        <v>67</v>
      </c>
      <c r="E156" s="138" t="s">
        <v>87</v>
      </c>
      <c r="F156" s="158" t="s">
        <v>87</v>
      </c>
      <c r="G156" s="158">
        <v>4.516E-3</v>
      </c>
      <c r="H156" s="158" t="s">
        <v>87</v>
      </c>
      <c r="I156" s="158">
        <v>5.5579999999999996E-3</v>
      </c>
      <c r="J156" s="158" t="s">
        <v>87</v>
      </c>
      <c r="K156" s="158">
        <v>6.9480000000000002E-3</v>
      </c>
      <c r="L156" s="158">
        <v>6.9480000000000002E-3</v>
      </c>
      <c r="M156" s="158">
        <v>6.9480000000000002E-3</v>
      </c>
      <c r="N156" s="139" cm="1">
        <f t="array" aca="1" ref="N156:AE156" ca="1">IF(OR(B156="",NOT($J$2)),"",GetStripDefaultProbability(A156,B156,Parameter_Date,CDSRollDate,E156:M156,SpreadCurveMaturities,D156,C156,$J$4,$J$6))</f>
        <v>0</v>
      </c>
      <c r="O156" s="165">
        <f ca="1"/>
        <v>0</v>
      </c>
      <c r="P156" s="165">
        <f ca="1"/>
        <v>7.9398417113613062E-3</v>
      </c>
      <c r="Q156" s="165">
        <f ca="1"/>
        <v>0</v>
      </c>
      <c r="R156" s="165">
        <f ca="1"/>
        <v>2.8214990094100223E-2</v>
      </c>
      <c r="S156" s="165">
        <f ca="1"/>
        <v>0</v>
      </c>
      <c r="T156" s="165">
        <f ca="1"/>
        <v>5.8449076235017938E-2</v>
      </c>
      <c r="U156" s="165">
        <f ca="1"/>
        <v>8.0138737782968539E-2</v>
      </c>
      <c r="V156" s="140">
        <f ca="1"/>
        <v>0.11180188242022637</v>
      </c>
      <c r="W156" s="139">
        <f ca="1"/>
        <v>0</v>
      </c>
      <c r="X156" s="165">
        <f ca="1"/>
        <v>0</v>
      </c>
      <c r="Y156" s="165">
        <f ca="1"/>
        <v>8.334875293973032E-3</v>
      </c>
      <c r="Z156" s="165">
        <f ca="1"/>
        <v>0</v>
      </c>
      <c r="AA156" s="165">
        <f ca="1"/>
        <v>2.9602250444568545E-2</v>
      </c>
      <c r="AB156" s="165">
        <f ca="1"/>
        <v>0</v>
      </c>
      <c r="AC156" s="165">
        <f ca="1"/>
        <v>6.1284758433058584E-2</v>
      </c>
      <c r="AD156" s="165">
        <f ca="1"/>
        <v>8.3982784130769872E-2</v>
      </c>
      <c r="AE156" s="140">
        <f ca="1"/>
        <v>0.11704920726690515</v>
      </c>
      <c r="AI156" s="137"/>
      <c r="AK156" s="137"/>
      <c r="AM156" s="137"/>
      <c r="AN156" s="137"/>
      <c r="AO156" s="137"/>
      <c r="AR156" s="137"/>
      <c r="AT156" s="137"/>
      <c r="AV156" s="137"/>
      <c r="AW156" s="137"/>
      <c r="AX156" s="137"/>
    </row>
    <row r="157" spans="1:50" s="79" customFormat="1" ht="10.199999999999999" x14ac:dyDescent="0.2">
      <c r="A157" s="97">
        <f t="shared" ca="1" si="4"/>
        <v>146</v>
      </c>
      <c r="B157" s="68" t="s">
        <v>234</v>
      </c>
      <c r="C157" s="98">
        <v>0.4</v>
      </c>
      <c r="D157" s="69" t="s">
        <v>67</v>
      </c>
      <c r="E157" s="138" t="s">
        <v>87</v>
      </c>
      <c r="F157" s="158" t="s">
        <v>87</v>
      </c>
      <c r="G157" s="158">
        <v>6.8499999999999995E-4</v>
      </c>
      <c r="H157" s="158" t="s">
        <v>87</v>
      </c>
      <c r="I157" s="158">
        <v>1.8890000000000001E-3</v>
      </c>
      <c r="J157" s="158" t="s">
        <v>87</v>
      </c>
      <c r="K157" s="158">
        <v>2.6540000000000001E-3</v>
      </c>
      <c r="L157" s="158">
        <v>3.5980000000000001E-3</v>
      </c>
      <c r="M157" s="158">
        <v>4.5880000000000001E-3</v>
      </c>
      <c r="N157" s="139" cm="1">
        <f t="array" aca="1" ref="N157:AE157" ca="1">IF(OR(B157="",NOT($J$2)),"",GetStripDefaultProbability(A157,B157,Parameter_Date,CDSRollDate,E157:M157,SpreadCurveMaturities,D157,C157,$J$4,$J$6))</f>
        <v>0</v>
      </c>
      <c r="O157" s="165">
        <f ca="1"/>
        <v>0</v>
      </c>
      <c r="P157" s="165">
        <f ca="1"/>
        <v>1.208379598348408E-3</v>
      </c>
      <c r="Q157" s="165">
        <f ca="1"/>
        <v>0</v>
      </c>
      <c r="R157" s="165">
        <f ca="1"/>
        <v>9.7839716041964175E-3</v>
      </c>
      <c r="S157" s="165">
        <f ca="1"/>
        <v>0</v>
      </c>
      <c r="T157" s="165">
        <f ca="1"/>
        <v>2.2944462879968208E-2</v>
      </c>
      <c r="U157" s="165">
        <f ca="1"/>
        <v>4.406517044926983E-2</v>
      </c>
      <c r="V157" s="140">
        <f ca="1"/>
        <v>8.0732317524322084E-2</v>
      </c>
      <c r="W157" s="139">
        <f ca="1"/>
        <v>0</v>
      </c>
      <c r="X157" s="165">
        <f ca="1"/>
        <v>0</v>
      </c>
      <c r="Y157" s="165">
        <f ca="1"/>
        <v>1.3748309970960104E-3</v>
      </c>
      <c r="Z157" s="165">
        <f ca="1"/>
        <v>0</v>
      </c>
      <c r="AA157" s="165">
        <f ca="1"/>
        <v>1.0278955861997674E-2</v>
      </c>
      <c r="AB157" s="165">
        <f ca="1"/>
        <v>0</v>
      </c>
      <c r="AC157" s="165">
        <f ca="1"/>
        <v>2.4069896304509508E-2</v>
      </c>
      <c r="AD157" s="165">
        <f ca="1"/>
        <v>4.6218404133920088E-2</v>
      </c>
      <c r="AE157" s="140">
        <f ca="1"/>
        <v>8.4615359671977641E-2</v>
      </c>
      <c r="AI157" s="137"/>
      <c r="AK157" s="137"/>
      <c r="AM157" s="137"/>
      <c r="AN157" s="137"/>
      <c r="AO157" s="137"/>
      <c r="AR157" s="137"/>
      <c r="AT157" s="137"/>
      <c r="AV157" s="137"/>
      <c r="AW157" s="137"/>
      <c r="AX157" s="137"/>
    </row>
    <row r="158" spans="1:50" s="79" customFormat="1" ht="10.199999999999999" x14ac:dyDescent="0.2">
      <c r="A158" s="97">
        <f t="shared" ca="1" si="4"/>
        <v>147</v>
      </c>
      <c r="B158" s="68" t="s">
        <v>235</v>
      </c>
      <c r="C158" s="98">
        <v>0.4</v>
      </c>
      <c r="D158" s="69" t="s">
        <v>67</v>
      </c>
      <c r="E158" s="138" t="s">
        <v>87</v>
      </c>
      <c r="F158" s="158" t="s">
        <v>87</v>
      </c>
      <c r="G158" s="158">
        <v>9.0200000000000002E-4</v>
      </c>
      <c r="H158" s="158" t="s">
        <v>87</v>
      </c>
      <c r="I158" s="158">
        <v>2.1849999999999999E-3</v>
      </c>
      <c r="J158" s="158" t="s">
        <v>87</v>
      </c>
      <c r="K158" s="158">
        <v>3.4259999999999998E-3</v>
      </c>
      <c r="L158" s="158">
        <v>4.3189999999999999E-3</v>
      </c>
      <c r="M158" s="158">
        <v>5.1630000000000001E-3</v>
      </c>
      <c r="N158" s="139" cm="1">
        <f t="array" aca="1" ref="N158:AE158" ca="1">IF(OR(B158="",NOT($J$2)),"",GetStripDefaultProbability(A158,B158,Parameter_Date,CDSRollDate,E158:M158,SpreadCurveMaturities,D158,C158,$J$4,$J$6))</f>
        <v>0</v>
      </c>
      <c r="O158" s="165">
        <f ca="1"/>
        <v>0</v>
      </c>
      <c r="P158" s="165">
        <f ca="1"/>
        <v>1.5908777568365284E-3</v>
      </c>
      <c r="Q158" s="165">
        <f ca="1"/>
        <v>0</v>
      </c>
      <c r="R158" s="165">
        <f ca="1"/>
        <v>1.1296025088689654E-2</v>
      </c>
      <c r="S158" s="165">
        <f ca="1"/>
        <v>0</v>
      </c>
      <c r="T158" s="165">
        <f ca="1"/>
        <v>2.9687761142028535E-2</v>
      </c>
      <c r="U158" s="165">
        <f ca="1"/>
        <v>5.2507317263668751E-2</v>
      </c>
      <c r="V158" s="140">
        <f ca="1"/>
        <v>8.941663864992655E-2</v>
      </c>
      <c r="W158" s="139">
        <f ca="1"/>
        <v>0</v>
      </c>
      <c r="X158" s="165">
        <f ca="1"/>
        <v>0</v>
      </c>
      <c r="Y158" s="165">
        <f ca="1"/>
        <v>1.7572654111831509E-3</v>
      </c>
      <c r="Z158" s="165">
        <f ca="1"/>
        <v>0</v>
      </c>
      <c r="AA158" s="165">
        <f ca="1"/>
        <v>1.1835957152628529E-2</v>
      </c>
      <c r="AB158" s="165">
        <f ca="1"/>
        <v>0</v>
      </c>
      <c r="AC158" s="165">
        <f ca="1"/>
        <v>3.1147204164963305E-2</v>
      </c>
      <c r="AD158" s="165">
        <f ca="1"/>
        <v>5.5070077690567709E-2</v>
      </c>
      <c r="AE158" s="140">
        <f ca="1"/>
        <v>9.370097098241037E-2</v>
      </c>
      <c r="AI158" s="137"/>
      <c r="AK158" s="137"/>
      <c r="AM158" s="137"/>
      <c r="AN158" s="137"/>
      <c r="AO158" s="137"/>
      <c r="AR158" s="137"/>
      <c r="AT158" s="137"/>
      <c r="AV158" s="137"/>
      <c r="AW158" s="137"/>
      <c r="AX158" s="137"/>
    </row>
    <row r="159" spans="1:50" s="79" customFormat="1" ht="10.199999999999999" x14ac:dyDescent="0.2">
      <c r="A159" s="97">
        <f t="shared" ca="1" si="4"/>
        <v>148</v>
      </c>
      <c r="B159" s="68" t="s">
        <v>236</v>
      </c>
      <c r="C159" s="98">
        <v>0.4</v>
      </c>
      <c r="D159" s="69" t="s">
        <v>67</v>
      </c>
      <c r="E159" s="138" t="s">
        <v>87</v>
      </c>
      <c r="F159" s="158" t="s">
        <v>87</v>
      </c>
      <c r="G159" s="158">
        <v>6.29E-4</v>
      </c>
      <c r="H159" s="158" t="s">
        <v>87</v>
      </c>
      <c r="I159" s="158">
        <v>1.8E-3</v>
      </c>
      <c r="J159" s="158" t="s">
        <v>87</v>
      </c>
      <c r="K159" s="158">
        <v>2.6059999999999998E-3</v>
      </c>
      <c r="L159" s="158">
        <v>3.2690000000000002E-3</v>
      </c>
      <c r="M159" s="158">
        <v>3.885E-3</v>
      </c>
      <c r="N159" s="139" cm="1">
        <f t="array" aca="1" ref="N159:AE159" ca="1">IF(OR(B159="",NOT($J$2)),"",GetStripDefaultProbability(A159,B159,Parameter_Date,CDSRollDate,E159:M159,SpreadCurveMaturities,D159,C159,$J$4,$J$6))</f>
        <v>0</v>
      </c>
      <c r="O159" s="165">
        <f ca="1"/>
        <v>0</v>
      </c>
      <c r="P159" s="165">
        <f ca="1"/>
        <v>1.1096467910054475E-3</v>
      </c>
      <c r="Q159" s="165">
        <f ca="1"/>
        <v>0</v>
      </c>
      <c r="R159" s="165">
        <f ca="1"/>
        <v>9.3277264016917716E-3</v>
      </c>
      <c r="S159" s="165">
        <f ca="1"/>
        <v>0</v>
      </c>
      <c r="T159" s="165">
        <f ca="1"/>
        <v>2.2569530613231858E-2</v>
      </c>
      <c r="U159" s="165">
        <f ca="1"/>
        <v>3.9835998470660772E-2</v>
      </c>
      <c r="V159" s="140">
        <f ca="1"/>
        <v>6.7695279915938156E-2</v>
      </c>
      <c r="W159" s="139">
        <f ca="1"/>
        <v>0</v>
      </c>
      <c r="X159" s="165">
        <f ca="1"/>
        <v>0</v>
      </c>
      <c r="Y159" s="165">
        <f ca="1"/>
        <v>1.2761146438358129E-3</v>
      </c>
      <c r="Z159" s="165">
        <f ca="1"/>
        <v>0</v>
      </c>
      <c r="AA159" s="165">
        <f ca="1"/>
        <v>9.8229387251087541E-3</v>
      </c>
      <c r="AB159" s="165">
        <f ca="1"/>
        <v>0</v>
      </c>
      <c r="AC159" s="165">
        <f ca="1"/>
        <v>2.3673851278790514E-2</v>
      </c>
      <c r="AD159" s="165">
        <f ca="1"/>
        <v>4.178164779564264E-2</v>
      </c>
      <c r="AE159" s="140">
        <f ca="1"/>
        <v>7.0963508012770404E-2</v>
      </c>
      <c r="AI159" s="137"/>
      <c r="AK159" s="137"/>
      <c r="AM159" s="137"/>
      <c r="AN159" s="137"/>
      <c r="AO159" s="137"/>
      <c r="AR159" s="137"/>
      <c r="AT159" s="137"/>
      <c r="AV159" s="137"/>
      <c r="AW159" s="137"/>
      <c r="AX159" s="137"/>
    </row>
    <row r="160" spans="1:50" s="79" customFormat="1" ht="10.199999999999999" x14ac:dyDescent="0.2">
      <c r="A160" s="97">
        <f t="shared" ca="1" si="4"/>
        <v>149</v>
      </c>
      <c r="B160" s="68" t="s">
        <v>237</v>
      </c>
      <c r="C160" s="98">
        <v>0.4</v>
      </c>
      <c r="D160" s="69" t="s">
        <v>67</v>
      </c>
      <c r="E160" s="138" t="s">
        <v>87</v>
      </c>
      <c r="F160" s="158" t="s">
        <v>87</v>
      </c>
      <c r="G160" s="158">
        <v>1.238E-3</v>
      </c>
      <c r="H160" s="158" t="s">
        <v>87</v>
      </c>
      <c r="I160" s="158">
        <v>4.0530000000000002E-3</v>
      </c>
      <c r="J160" s="158" t="s">
        <v>87</v>
      </c>
      <c r="K160" s="158">
        <v>5.6940000000000003E-3</v>
      </c>
      <c r="L160" s="158">
        <v>7.4310000000000001E-3</v>
      </c>
      <c r="M160" s="158">
        <v>9.3609999999999995E-3</v>
      </c>
      <c r="N160" s="139" cm="1">
        <f t="array" aca="1" ref="N160:AE160" ca="1">IF(OR(B160="",NOT($J$2)),"",GetStripDefaultProbability(A160,B160,Parameter_Date,CDSRollDate,E160:M160,SpreadCurveMaturities,D160,C160,$J$4,$J$6))</f>
        <v>0</v>
      </c>
      <c r="O160" s="165">
        <f ca="1"/>
        <v>0</v>
      </c>
      <c r="P160" s="165">
        <f ca="1"/>
        <v>2.182846229887736E-3</v>
      </c>
      <c r="Q160" s="165">
        <f ca="1"/>
        <v>0</v>
      </c>
      <c r="R160" s="165">
        <f ca="1"/>
        <v>2.0935540653508888E-2</v>
      </c>
      <c r="S160" s="165">
        <f ca="1"/>
        <v>0</v>
      </c>
      <c r="T160" s="165">
        <f ca="1"/>
        <v>4.8777853670206484E-2</v>
      </c>
      <c r="U160" s="165">
        <f ca="1"/>
        <v>8.9220492957030495E-2</v>
      </c>
      <c r="V160" s="140">
        <f ca="1"/>
        <v>0.15920384610303684</v>
      </c>
      <c r="W160" s="139">
        <f ca="1"/>
        <v>0</v>
      </c>
      <c r="X160" s="165">
        <f ca="1"/>
        <v>0</v>
      </c>
      <c r="Y160" s="165">
        <f ca="1"/>
        <v>2.3491352310432978E-3</v>
      </c>
      <c r="Z160" s="165">
        <f ca="1"/>
        <v>0</v>
      </c>
      <c r="AA160" s="165">
        <f ca="1"/>
        <v>2.1965914185960389E-2</v>
      </c>
      <c r="AB160" s="165">
        <f ca="1"/>
        <v>0</v>
      </c>
      <c r="AC160" s="165">
        <f ca="1"/>
        <v>5.1157008850304719E-2</v>
      </c>
      <c r="AD160" s="165">
        <f ca="1"/>
        <v>9.3506968967263071E-2</v>
      </c>
      <c r="AE160" s="140">
        <f ca="1"/>
        <v>0.16667081930580208</v>
      </c>
      <c r="AI160" s="137"/>
      <c r="AK160" s="137"/>
      <c r="AM160" s="137"/>
      <c r="AN160" s="137"/>
      <c r="AO160" s="137"/>
      <c r="AR160" s="137"/>
      <c r="AT160" s="137"/>
      <c r="AV160" s="137"/>
      <c r="AW160" s="137"/>
      <c r="AX160" s="137"/>
    </row>
    <row r="161" spans="1:50" s="79" customFormat="1" ht="10.199999999999999" x14ac:dyDescent="0.2">
      <c r="A161" s="97">
        <f t="shared" ca="1" si="4"/>
        <v>150</v>
      </c>
      <c r="B161" s="68" t="s">
        <v>238</v>
      </c>
      <c r="C161" s="98">
        <v>0.4</v>
      </c>
      <c r="D161" s="69" t="s">
        <v>67</v>
      </c>
      <c r="E161" s="138" t="s">
        <v>87</v>
      </c>
      <c r="F161" s="158" t="s">
        <v>87</v>
      </c>
      <c r="G161" s="158">
        <v>3.4431999999999997E-2</v>
      </c>
      <c r="H161" s="158" t="s">
        <v>87</v>
      </c>
      <c r="I161" s="158">
        <v>3.3938000000000003E-2</v>
      </c>
      <c r="J161" s="158" t="s">
        <v>87</v>
      </c>
      <c r="K161" s="158">
        <v>3.006E-2</v>
      </c>
      <c r="L161" s="158">
        <v>2.8119999999999999E-2</v>
      </c>
      <c r="M161" s="158">
        <v>2.7151000000000002E-2</v>
      </c>
      <c r="N161" s="139" cm="1">
        <f t="array" aca="1" ref="N161:AE161" ca="1">IF(OR(B161="",NOT($J$2)),"",GetStripDefaultProbability(A161,B161,Parameter_Date,CDSRollDate,E161:M161,SpreadCurveMaturities,D161,C161,$J$4,$J$6))</f>
        <v>0</v>
      </c>
      <c r="O161" s="165">
        <f ca="1"/>
        <v>0</v>
      </c>
      <c r="P161" s="165">
        <f ca="1"/>
        <v>5.8965088937883103E-2</v>
      </c>
      <c r="Q161" s="165">
        <f ca="1"/>
        <v>0</v>
      </c>
      <c r="R161" s="165">
        <f ca="1"/>
        <v>0.15940371907565265</v>
      </c>
      <c r="S161" s="165">
        <f ca="1"/>
        <v>0</v>
      </c>
      <c r="T161" s="165">
        <f ca="1"/>
        <v>0.22063045831188433</v>
      </c>
      <c r="U161" s="165">
        <f ca="1"/>
        <v>0.27438911174380387</v>
      </c>
      <c r="V161" s="140">
        <f ca="1"/>
        <v>0.35544504393212717</v>
      </c>
      <c r="W161" s="139">
        <f ca="1"/>
        <v>0</v>
      </c>
      <c r="X161" s="165">
        <f ca="1"/>
        <v>0</v>
      </c>
      <c r="Y161" s="165">
        <f ca="1"/>
        <v>6.1820252786673913E-2</v>
      </c>
      <c r="Z161" s="165">
        <f ca="1"/>
        <v>0</v>
      </c>
      <c r="AA161" s="165">
        <f ca="1"/>
        <v>0.1666664778296596</v>
      </c>
      <c r="AB161" s="165">
        <f ca="1"/>
        <v>0</v>
      </c>
      <c r="AC161" s="165">
        <f ca="1"/>
        <v>0.23015119818256324</v>
      </c>
      <c r="AD161" s="165">
        <f ca="1"/>
        <v>0.28567847374340183</v>
      </c>
      <c r="AE161" s="140">
        <f ca="1"/>
        <v>0.36909411875219778</v>
      </c>
      <c r="AI161" s="137"/>
      <c r="AK161" s="137"/>
      <c r="AM161" s="137"/>
      <c r="AN161" s="137"/>
      <c r="AO161" s="137"/>
      <c r="AR161" s="137"/>
      <c r="AT161" s="137"/>
      <c r="AV161" s="137"/>
      <c r="AW161" s="137"/>
      <c r="AX161" s="137"/>
    </row>
    <row r="162" spans="1:50" s="79" customFormat="1" ht="10.199999999999999" x14ac:dyDescent="0.2">
      <c r="A162" s="97">
        <f t="shared" ca="1" si="4"/>
        <v>151</v>
      </c>
      <c r="B162" s="68" t="s">
        <v>239</v>
      </c>
      <c r="C162" s="98">
        <v>0.4</v>
      </c>
      <c r="D162" s="69" t="s">
        <v>67</v>
      </c>
      <c r="E162" s="138" t="s">
        <v>87</v>
      </c>
      <c r="F162" s="158" t="s">
        <v>87</v>
      </c>
      <c r="G162" s="158">
        <v>1.083E-3</v>
      </c>
      <c r="H162" s="158" t="s">
        <v>87</v>
      </c>
      <c r="I162" s="158">
        <v>3.0460000000000001E-3</v>
      </c>
      <c r="J162" s="158" t="s">
        <v>87</v>
      </c>
      <c r="K162" s="158">
        <v>4.8729999999999997E-3</v>
      </c>
      <c r="L162" s="158">
        <v>6.4980000000000003E-3</v>
      </c>
      <c r="M162" s="158">
        <v>8.6300000000000005E-3</v>
      </c>
      <c r="N162" s="139" cm="1">
        <f t="array" aca="1" ref="N162:AE162" ca="1">IF(OR(B162="",NOT($J$2)),"",GetStripDefaultProbability(A162,B162,Parameter_Date,CDSRollDate,E162:M162,SpreadCurveMaturities,D162,C162,$J$4,$J$6))</f>
        <v>0</v>
      </c>
      <c r="O162" s="165">
        <f ca="1"/>
        <v>0</v>
      </c>
      <c r="P162" s="165">
        <f ca="1"/>
        <v>1.9098088150590886E-3</v>
      </c>
      <c r="Q162" s="165">
        <f ca="1"/>
        <v>0</v>
      </c>
      <c r="R162" s="165">
        <f ca="1"/>
        <v>1.5743612661146322E-2</v>
      </c>
      <c r="S162" s="165">
        <f ca="1"/>
        <v>0</v>
      </c>
      <c r="T162" s="165">
        <f ca="1"/>
        <v>4.2104073304338185E-2</v>
      </c>
      <c r="U162" s="165">
        <f ca="1"/>
        <v>7.8761667574874905E-2</v>
      </c>
      <c r="V162" s="140">
        <f ca="1"/>
        <v>0.14912646253682682</v>
      </c>
      <c r="W162" s="139">
        <f ca="1"/>
        <v>0</v>
      </c>
      <c r="X162" s="165">
        <f ca="1"/>
        <v>0</v>
      </c>
      <c r="Y162" s="165">
        <f ca="1"/>
        <v>2.0761433186420319E-3</v>
      </c>
      <c r="Z162" s="165">
        <f ca="1"/>
        <v>0</v>
      </c>
      <c r="AA162" s="165">
        <f ca="1"/>
        <v>1.6518647511145401E-2</v>
      </c>
      <c r="AB162" s="165">
        <f ca="1"/>
        <v>0</v>
      </c>
      <c r="AC162" s="165">
        <f ca="1"/>
        <v>4.4163553213559137E-2</v>
      </c>
      <c r="AD162" s="165">
        <f ca="1"/>
        <v>8.2566130995454068E-2</v>
      </c>
      <c r="AE162" s="140">
        <f ca="1"/>
        <v>0.15617179973179873</v>
      </c>
      <c r="AI162" s="137"/>
      <c r="AK162" s="137"/>
      <c r="AM162" s="137"/>
      <c r="AN162" s="137"/>
      <c r="AO162" s="137"/>
      <c r="AR162" s="137"/>
      <c r="AT162" s="137"/>
      <c r="AV162" s="137"/>
      <c r="AW162" s="137"/>
      <c r="AX162" s="137"/>
    </row>
    <row r="163" spans="1:50" s="79" customFormat="1" ht="10.199999999999999" x14ac:dyDescent="0.2">
      <c r="A163" s="97">
        <f t="shared" ca="1" si="4"/>
        <v>152</v>
      </c>
      <c r="B163" s="68" t="s">
        <v>240</v>
      </c>
      <c r="C163" s="98">
        <v>0.4</v>
      </c>
      <c r="D163" s="69" t="s">
        <v>67</v>
      </c>
      <c r="E163" s="138" t="s">
        <v>87</v>
      </c>
      <c r="F163" s="158" t="s">
        <v>87</v>
      </c>
      <c r="G163" s="158">
        <v>1.0970000000000001E-3</v>
      </c>
      <c r="H163" s="158" t="s">
        <v>87</v>
      </c>
      <c r="I163" s="158">
        <v>1.645E-3</v>
      </c>
      <c r="J163" s="158" t="s">
        <v>87</v>
      </c>
      <c r="K163" s="158">
        <v>2.4130000000000002E-3</v>
      </c>
      <c r="L163" s="158">
        <v>2.6689999999999999E-3</v>
      </c>
      <c r="M163" s="158">
        <v>3.2850000000000002E-3</v>
      </c>
      <c r="N163" s="139" cm="1">
        <f t="array" aca="1" ref="N163:AE163" ca="1">IF(OR(B163="",NOT($J$2)),"",GetStripDefaultProbability(A163,B163,Parameter_Date,CDSRollDate,E163:M163,SpreadCurveMaturities,D163,C163,$J$4,$J$6))</f>
        <v>0</v>
      </c>
      <c r="O163" s="165">
        <f ca="1"/>
        <v>0</v>
      </c>
      <c r="P163" s="165">
        <f ca="1"/>
        <v>1.934473303671691E-3</v>
      </c>
      <c r="Q163" s="165">
        <f ca="1"/>
        <v>0</v>
      </c>
      <c r="R163" s="165">
        <f ca="1"/>
        <v>8.4594690684696161E-3</v>
      </c>
      <c r="S163" s="165">
        <f ca="1"/>
        <v>0</v>
      </c>
      <c r="T163" s="165">
        <f ca="1"/>
        <v>2.0855053807930735E-2</v>
      </c>
      <c r="U163" s="165">
        <f ca="1"/>
        <v>3.2137045224071459E-2</v>
      </c>
      <c r="V163" s="140">
        <f ca="1"/>
        <v>5.7298323015401831E-2</v>
      </c>
      <c r="W163" s="139">
        <f ca="1"/>
        <v>0</v>
      </c>
      <c r="X163" s="165">
        <f ca="1"/>
        <v>0</v>
      </c>
      <c r="Y163" s="165">
        <f ca="1"/>
        <v>2.1008036968738208E-3</v>
      </c>
      <c r="Z163" s="165">
        <f ca="1"/>
        <v>0</v>
      </c>
      <c r="AA163" s="165">
        <f ca="1"/>
        <v>8.9551154120532939E-3</v>
      </c>
      <c r="AB163" s="165">
        <f ca="1"/>
        <v>0</v>
      </c>
      <c r="AC163" s="165">
        <f ca="1"/>
        <v>2.1873886949027477E-2</v>
      </c>
      <c r="AD163" s="165">
        <f ca="1"/>
        <v>3.3706945244293185E-2</v>
      </c>
      <c r="AE163" s="140">
        <f ca="1"/>
        <v>6.0073076907364853E-2</v>
      </c>
      <c r="AI163" s="137"/>
      <c r="AK163" s="137"/>
      <c r="AM163" s="137"/>
      <c r="AN163" s="137"/>
      <c r="AO163" s="137"/>
      <c r="AR163" s="137"/>
      <c r="AT163" s="137"/>
      <c r="AV163" s="137"/>
      <c r="AW163" s="137"/>
      <c r="AX163" s="137"/>
    </row>
    <row r="164" spans="1:50" s="79" customFormat="1" ht="10.199999999999999" x14ac:dyDescent="0.2">
      <c r="A164" s="97">
        <f t="shared" ca="1" si="4"/>
        <v>153</v>
      </c>
      <c r="B164" s="68" t="s">
        <v>241</v>
      </c>
      <c r="C164" s="98">
        <v>0.4</v>
      </c>
      <c r="D164" s="69" t="s">
        <v>67</v>
      </c>
      <c r="E164" s="138" t="s">
        <v>87</v>
      </c>
      <c r="F164" s="158" t="s">
        <v>87</v>
      </c>
      <c r="G164" s="158">
        <v>1.505E-3</v>
      </c>
      <c r="H164" s="158" t="s">
        <v>87</v>
      </c>
      <c r="I164" s="158">
        <v>2.6090000000000002E-3</v>
      </c>
      <c r="J164" s="158" t="s">
        <v>87</v>
      </c>
      <c r="K164" s="158">
        <v>3.764E-3</v>
      </c>
      <c r="L164" s="158">
        <v>4.8170000000000001E-3</v>
      </c>
      <c r="M164" s="158">
        <v>5.8209999999999998E-3</v>
      </c>
      <c r="N164" s="139" cm="1">
        <f t="array" aca="1" ref="N164:AE164" ca="1">IF(OR(B164="",NOT($J$2)),"",GetStripDefaultProbability(A164,B164,Parameter_Date,CDSRollDate,E164:M164,SpreadCurveMaturities,D164,C164,$J$4,$J$6))</f>
        <v>0</v>
      </c>
      <c r="O164" s="165">
        <f ca="1"/>
        <v>0</v>
      </c>
      <c r="P164" s="165">
        <f ca="1"/>
        <v>2.6530014691230619E-3</v>
      </c>
      <c r="Q164" s="165">
        <f ca="1"/>
        <v>0</v>
      </c>
      <c r="R164" s="165">
        <f ca="1"/>
        <v>1.3419300942397405E-2</v>
      </c>
      <c r="S164" s="165">
        <f ca="1"/>
        <v>0</v>
      </c>
      <c r="T164" s="165">
        <f ca="1"/>
        <v>3.2391338994166463E-2</v>
      </c>
      <c r="U164" s="165">
        <f ca="1"/>
        <v>5.8326229240810767E-2</v>
      </c>
      <c r="V164" s="140">
        <f ca="1"/>
        <v>0.10041873663896095</v>
      </c>
      <c r="W164" s="139">
        <f ca="1"/>
        <v>0</v>
      </c>
      <c r="X164" s="165">
        <f ca="1"/>
        <v>0</v>
      </c>
      <c r="Y164" s="165">
        <f ca="1"/>
        <v>2.819212117604275E-3</v>
      </c>
      <c r="Z164" s="165">
        <f ca="1"/>
        <v>0</v>
      </c>
      <c r="AA164" s="165">
        <f ca="1"/>
        <v>1.4082697638215569E-2</v>
      </c>
      <c r="AB164" s="165">
        <f ca="1"/>
        <v>0</v>
      </c>
      <c r="AC164" s="165">
        <f ca="1"/>
        <v>3.3983731706714981E-2</v>
      </c>
      <c r="AD164" s="165">
        <f ca="1"/>
        <v>6.1167446726113295E-2</v>
      </c>
      <c r="AE164" s="140">
        <f ca="1"/>
        <v>0.10523796776623562</v>
      </c>
      <c r="AI164" s="137"/>
      <c r="AK164" s="137"/>
      <c r="AM164" s="137"/>
      <c r="AN164" s="137"/>
      <c r="AO164" s="137"/>
      <c r="AR164" s="137"/>
      <c r="AT164" s="137"/>
      <c r="AV164" s="137"/>
      <c r="AW164" s="137"/>
      <c r="AX164" s="137"/>
    </row>
    <row r="165" spans="1:50" s="79" customFormat="1" ht="10.199999999999999" x14ac:dyDescent="0.2">
      <c r="A165" s="97">
        <f t="shared" ca="1" si="4"/>
        <v>154</v>
      </c>
      <c r="B165" s="68" t="s">
        <v>242</v>
      </c>
      <c r="C165" s="98">
        <v>0.4</v>
      </c>
      <c r="D165" s="69" t="s">
        <v>67</v>
      </c>
      <c r="E165" s="138" t="s">
        <v>87</v>
      </c>
      <c r="F165" s="158" t="s">
        <v>87</v>
      </c>
      <c r="G165" s="158">
        <v>5.31E-4</v>
      </c>
      <c r="H165" s="158" t="s">
        <v>87</v>
      </c>
      <c r="I165" s="158">
        <v>1.4480000000000001E-3</v>
      </c>
      <c r="J165" s="158" t="s">
        <v>87</v>
      </c>
      <c r="K165" s="158">
        <v>2.1229999999999999E-3</v>
      </c>
      <c r="L165" s="158">
        <v>2.7989999999999998E-3</v>
      </c>
      <c r="M165" s="158">
        <v>3.9569999999999996E-3</v>
      </c>
      <c r="N165" s="139" cm="1">
        <f t="array" aca="1" ref="N165:AE165" ca="1">IF(OR(B165="",NOT($J$2)),"",GetStripDefaultProbability(A165,B165,Parameter_Date,CDSRollDate,E165:M165,SpreadCurveMaturities,D165,C165,$J$4,$J$6))</f>
        <v>0</v>
      </c>
      <c r="O165" s="165">
        <f ca="1"/>
        <v>0</v>
      </c>
      <c r="P165" s="165">
        <f ca="1"/>
        <v>9.3684106812486068E-4</v>
      </c>
      <c r="Q165" s="165">
        <f ca="1"/>
        <v>0</v>
      </c>
      <c r="R165" s="165">
        <f ca="1"/>
        <v>7.5055973967176337E-3</v>
      </c>
      <c r="S165" s="165">
        <f ca="1"/>
        <v>0</v>
      </c>
      <c r="T165" s="165">
        <f ca="1"/>
        <v>1.8422519212264898E-2</v>
      </c>
      <c r="U165" s="165">
        <f ca="1"/>
        <v>3.4347298217514699E-2</v>
      </c>
      <c r="V165" s="140">
        <f ca="1"/>
        <v>7.0826395664545738E-2</v>
      </c>
      <c r="W165" s="139">
        <f ca="1"/>
        <v>0</v>
      </c>
      <c r="X165" s="165">
        <f ca="1"/>
        <v>0</v>
      </c>
      <c r="Y165" s="165">
        <f ca="1"/>
        <v>1.1033377195059924E-3</v>
      </c>
      <c r="Z165" s="165">
        <f ca="1"/>
        <v>0</v>
      </c>
      <c r="AA165" s="165">
        <f ca="1"/>
        <v>8.0017205568688743E-3</v>
      </c>
      <c r="AB165" s="165">
        <f ca="1"/>
        <v>0</v>
      </c>
      <c r="AC165" s="165">
        <f ca="1"/>
        <v>1.9313178294457223E-2</v>
      </c>
      <c r="AD165" s="165">
        <f ca="1"/>
        <v>3.6017251680120488E-2</v>
      </c>
      <c r="AE165" s="140">
        <f ca="1"/>
        <v>7.4235514980219519E-2</v>
      </c>
      <c r="AI165" s="137"/>
      <c r="AK165" s="137"/>
      <c r="AM165" s="137"/>
      <c r="AN165" s="137"/>
      <c r="AO165" s="137"/>
      <c r="AR165" s="137"/>
      <c r="AT165" s="137"/>
      <c r="AV165" s="137"/>
      <c r="AW165" s="137"/>
      <c r="AX165" s="137"/>
    </row>
    <row r="166" spans="1:50" s="79" customFormat="1" ht="10.199999999999999" x14ac:dyDescent="0.2">
      <c r="A166" s="97">
        <f t="shared" ca="1" si="4"/>
        <v>155</v>
      </c>
      <c r="B166" s="68" t="s">
        <v>243</v>
      </c>
      <c r="C166" s="98">
        <v>0.4</v>
      </c>
      <c r="D166" s="69" t="s">
        <v>67</v>
      </c>
      <c r="E166" s="138" t="s">
        <v>87</v>
      </c>
      <c r="F166" s="158" t="s">
        <v>87</v>
      </c>
      <c r="G166" s="158">
        <v>3.0165999999999998E-2</v>
      </c>
      <c r="H166" s="158" t="s">
        <v>87</v>
      </c>
      <c r="I166" s="158">
        <v>2.1916999999999999E-2</v>
      </c>
      <c r="J166" s="158" t="s">
        <v>87</v>
      </c>
      <c r="K166" s="158">
        <v>1.8335000000000001E-2</v>
      </c>
      <c r="L166" s="158">
        <v>1.6732E-2</v>
      </c>
      <c r="M166" s="158">
        <v>1.5789999999999998E-2</v>
      </c>
      <c r="N166" s="139" cm="1">
        <f t="array" aca="1" ref="N166:AE166" ca="1">IF(OR(B166="",NOT($J$2)),"",GetStripDefaultProbability(A166,B166,Parameter_Date,CDSRollDate,E166:M166,SpreadCurveMaturities,D166,C166,$J$4,$J$6))</f>
        <v>0</v>
      </c>
      <c r="O166" s="165">
        <f ca="1"/>
        <v>0</v>
      </c>
      <c r="P166" s="165">
        <f ca="1"/>
        <v>5.1852676163256617E-2</v>
      </c>
      <c r="Q166" s="165">
        <f ca="1"/>
        <v>0</v>
      </c>
      <c r="R166" s="165">
        <f ca="1"/>
        <v>0.1044730370691197</v>
      </c>
      <c r="S166" s="165">
        <f ca="1"/>
        <v>0</v>
      </c>
      <c r="T166" s="165">
        <f ca="1"/>
        <v>0.1391651415356252</v>
      </c>
      <c r="U166" s="165">
        <f ca="1"/>
        <v>0.17171589122083919</v>
      </c>
      <c r="V166" s="140">
        <f ca="1"/>
        <v>0.22256056166299754</v>
      </c>
      <c r="W166" s="139">
        <f ca="1"/>
        <v>0</v>
      </c>
      <c r="X166" s="165">
        <f ca="1"/>
        <v>0</v>
      </c>
      <c r="Y166" s="165">
        <f ca="1"/>
        <v>5.4373489146492648E-2</v>
      </c>
      <c r="Z166" s="165">
        <f ca="1"/>
        <v>0</v>
      </c>
      <c r="AA166" s="165">
        <f ca="1"/>
        <v>0.1093664348632819</v>
      </c>
      <c r="AB166" s="165">
        <f ca="1"/>
        <v>0</v>
      </c>
      <c r="AC166" s="165">
        <f ca="1"/>
        <v>0.14546387686912154</v>
      </c>
      <c r="AD166" s="165">
        <f ca="1"/>
        <v>0.17930202907642723</v>
      </c>
      <c r="AE166" s="140">
        <f ca="1"/>
        <v>0.23206427247869099</v>
      </c>
      <c r="AI166" s="137"/>
      <c r="AK166" s="137"/>
      <c r="AM166" s="137"/>
      <c r="AN166" s="137"/>
      <c r="AO166" s="137"/>
      <c r="AR166" s="137"/>
      <c r="AT166" s="137"/>
      <c r="AV166" s="137"/>
      <c r="AW166" s="137"/>
      <c r="AX166" s="137"/>
    </row>
    <row r="167" spans="1:50" s="79" customFormat="1" ht="10.199999999999999" x14ac:dyDescent="0.2">
      <c r="A167" s="97">
        <f t="shared" ca="1" si="4"/>
        <v>156</v>
      </c>
      <c r="B167" s="68" t="s">
        <v>244</v>
      </c>
      <c r="C167" s="98">
        <v>0.4</v>
      </c>
      <c r="D167" s="69" t="s">
        <v>67</v>
      </c>
      <c r="E167" s="138" t="s">
        <v>87</v>
      </c>
      <c r="F167" s="158" t="s">
        <v>87</v>
      </c>
      <c r="G167" s="158">
        <v>8.2399999999999997E-4</v>
      </c>
      <c r="H167" s="158" t="s">
        <v>87</v>
      </c>
      <c r="I167" s="158">
        <v>2.5300000000000001E-3</v>
      </c>
      <c r="J167" s="158" t="s">
        <v>87</v>
      </c>
      <c r="K167" s="158">
        <v>3.522E-3</v>
      </c>
      <c r="L167" s="158">
        <v>4.5840000000000004E-3</v>
      </c>
      <c r="M167" s="158">
        <v>5.9350000000000002E-3</v>
      </c>
      <c r="N167" s="139" cm="1">
        <f t="array" aca="1" ref="N167:AE167" ca="1">IF(OR(B167="",NOT($J$2)),"",GetStripDefaultProbability(A167,B167,Parameter_Date,CDSRollDate,E167:M167,SpreadCurveMaturities,D167,C167,$J$4,$J$6))</f>
        <v>0</v>
      </c>
      <c r="O167" s="165">
        <f ca="1"/>
        <v>0</v>
      </c>
      <c r="P167" s="165">
        <f ca="1"/>
        <v>1.4534066770205412E-3</v>
      </c>
      <c r="Q167" s="165">
        <f ca="1"/>
        <v>0</v>
      </c>
      <c r="R167" s="165">
        <f ca="1"/>
        <v>1.3099927685995327E-2</v>
      </c>
      <c r="S167" s="165">
        <f ca="1"/>
        <v>0</v>
      </c>
      <c r="T167" s="165">
        <f ca="1"/>
        <v>3.0361338900678714E-2</v>
      </c>
      <c r="U167" s="165">
        <f ca="1"/>
        <v>5.5685444530437223E-2</v>
      </c>
      <c r="V167" s="140">
        <f ca="1"/>
        <v>0.1035404825820464</v>
      </c>
      <c r="W167" s="139">
        <f ca="1"/>
        <v>0</v>
      </c>
      <c r="X167" s="165">
        <f ca="1"/>
        <v>0</v>
      </c>
      <c r="Y167" s="165">
        <f ca="1"/>
        <v>1.6198172413184331E-3</v>
      </c>
      <c r="Z167" s="165">
        <f ca="1"/>
        <v>0</v>
      </c>
      <c r="AA167" s="165">
        <f ca="1"/>
        <v>1.3743238535099622E-2</v>
      </c>
      <c r="AB167" s="165">
        <f ca="1"/>
        <v>0</v>
      </c>
      <c r="AC167" s="165">
        <f ca="1"/>
        <v>3.1851008585470186E-2</v>
      </c>
      <c r="AD167" s="165">
        <f ca="1"/>
        <v>5.8397038923528433E-2</v>
      </c>
      <c r="AE167" s="140">
        <f ca="1"/>
        <v>0.10851015695913591</v>
      </c>
      <c r="AI167" s="137"/>
      <c r="AK167" s="137"/>
      <c r="AM167" s="137"/>
      <c r="AN167" s="137"/>
      <c r="AO167" s="137"/>
      <c r="AR167" s="137"/>
      <c r="AT167" s="137"/>
      <c r="AV167" s="137"/>
      <c r="AW167" s="137"/>
      <c r="AX167" s="137"/>
    </row>
    <row r="168" spans="1:50" s="79" customFormat="1" ht="10.199999999999999" x14ac:dyDescent="0.2">
      <c r="A168" s="97">
        <f t="shared" ca="1" si="4"/>
        <v>157</v>
      </c>
      <c r="B168" s="68" t="s">
        <v>245</v>
      </c>
      <c r="C168" s="98">
        <v>0.4</v>
      </c>
      <c r="D168" s="69" t="s">
        <v>67</v>
      </c>
      <c r="E168" s="138" t="s">
        <v>87</v>
      </c>
      <c r="F168" s="158" t="s">
        <v>87</v>
      </c>
      <c r="G168" s="158">
        <v>6.8499999999999995E-4</v>
      </c>
      <c r="H168" s="158" t="s">
        <v>87</v>
      </c>
      <c r="I168" s="158">
        <v>2.2669999999999999E-3</v>
      </c>
      <c r="J168" s="158" t="s">
        <v>87</v>
      </c>
      <c r="K168" s="158">
        <v>3.4259999999999998E-3</v>
      </c>
      <c r="L168" s="158">
        <v>4.8869999999999999E-3</v>
      </c>
      <c r="M168" s="158">
        <v>6.398E-3</v>
      </c>
      <c r="N168" s="139" cm="1">
        <f t="array" aca="1" ref="N168:AE168" ca="1">IF(OR(B168="",NOT($J$2)),"",GetStripDefaultProbability(A168,B168,Parameter_Date,CDSRollDate,E168:M168,SpreadCurveMaturities,D168,C168,$J$4,$J$6))</f>
        <v>0</v>
      </c>
      <c r="O168" s="165">
        <f ca="1"/>
        <v>0</v>
      </c>
      <c r="P168" s="165">
        <f ca="1"/>
        <v>1.208379598348408E-3</v>
      </c>
      <c r="Q168" s="165">
        <f ca="1"/>
        <v>0</v>
      </c>
      <c r="R168" s="165">
        <f ca="1"/>
        <v>1.1751192499081187E-2</v>
      </c>
      <c r="S168" s="165">
        <f ca="1"/>
        <v>0</v>
      </c>
      <c r="T168" s="165">
        <f ca="1"/>
        <v>2.9670204289217739E-2</v>
      </c>
      <c r="U168" s="165">
        <f ca="1"/>
        <v>5.9934107429336581E-2</v>
      </c>
      <c r="V168" s="140">
        <f ca="1"/>
        <v>0.11213497536293049</v>
      </c>
      <c r="W168" s="139">
        <f ca="1"/>
        <v>0</v>
      </c>
      <c r="X168" s="165">
        <f ca="1"/>
        <v>0</v>
      </c>
      <c r="Y168" s="165">
        <f ca="1"/>
        <v>1.3748309970960104E-3</v>
      </c>
      <c r="Z168" s="165">
        <f ca="1"/>
        <v>0</v>
      </c>
      <c r="AA168" s="165">
        <f ca="1"/>
        <v>1.2311123825220927E-2</v>
      </c>
      <c r="AB168" s="165">
        <f ca="1"/>
        <v>0</v>
      </c>
      <c r="AC168" s="165">
        <f ca="1"/>
        <v>3.112751275185055E-2</v>
      </c>
      <c r="AD168" s="165">
        <f ca="1"/>
        <v>6.285178037388639E-2</v>
      </c>
      <c r="AE168" s="140">
        <f ca="1"/>
        <v>0.11750917374588543</v>
      </c>
      <c r="AI168" s="137"/>
      <c r="AK168" s="137"/>
      <c r="AM168" s="137"/>
      <c r="AN168" s="137"/>
      <c r="AO168" s="137"/>
      <c r="AR168" s="137"/>
      <c r="AT168" s="137"/>
      <c r="AV168" s="137"/>
      <c r="AW168" s="137"/>
      <c r="AX168" s="137"/>
    </row>
    <row r="169" spans="1:50" s="79" customFormat="1" ht="10.199999999999999" x14ac:dyDescent="0.2">
      <c r="A169" s="97">
        <f t="shared" ca="1" si="4"/>
        <v>158</v>
      </c>
      <c r="B169" s="68" t="s">
        <v>246</v>
      </c>
      <c r="C169" s="98">
        <v>0.4</v>
      </c>
      <c r="D169" s="69" t="s">
        <v>67</v>
      </c>
      <c r="E169" s="138" t="s">
        <v>87</v>
      </c>
      <c r="F169" s="158" t="s">
        <v>87</v>
      </c>
      <c r="G169" s="158">
        <v>4.5399999999999998E-4</v>
      </c>
      <c r="H169" s="158" t="s">
        <v>87</v>
      </c>
      <c r="I169" s="158">
        <v>1.5560000000000001E-3</v>
      </c>
      <c r="J169" s="158" t="s">
        <v>87</v>
      </c>
      <c r="K169" s="158">
        <v>2.2680000000000001E-3</v>
      </c>
      <c r="L169" s="158">
        <v>2.9789999999999999E-3</v>
      </c>
      <c r="M169" s="158">
        <v>3.6459999999999999E-3</v>
      </c>
      <c r="N169" s="139" cm="1">
        <f t="array" aca="1" ref="N169:AE169" ca="1">IF(OR(B169="",NOT($J$2)),"",GetStripDefaultProbability(A169,B169,Parameter_Date,CDSRollDate,E169:M169,SpreadCurveMaturities,D169,C169,$J$4,$J$6))</f>
        <v>0</v>
      </c>
      <c r="O169" s="165">
        <f ca="1"/>
        <v>0</v>
      </c>
      <c r="P169" s="165">
        <f ca="1"/>
        <v>8.0104432618277599E-4</v>
      </c>
      <c r="Q169" s="165">
        <f ca="1"/>
        <v>0</v>
      </c>
      <c r="R169" s="165">
        <f ca="1"/>
        <v>8.0787497948892062E-3</v>
      </c>
      <c r="S169" s="165">
        <f ca="1"/>
        <v>0</v>
      </c>
      <c r="T169" s="165">
        <f ca="1"/>
        <v>1.9681551663705332E-2</v>
      </c>
      <c r="U169" s="165">
        <f ca="1"/>
        <v>3.6525349335665425E-2</v>
      </c>
      <c r="V169" s="140">
        <f ca="1"/>
        <v>6.4096899027013543E-2</v>
      </c>
      <c r="W169" s="139">
        <f ca="1"/>
        <v>0</v>
      </c>
      <c r="X169" s="165">
        <f ca="1"/>
        <v>0</v>
      </c>
      <c r="Y169" s="165">
        <f ca="1"/>
        <v>9.6756360848093692E-4</v>
      </c>
      <c r="Z169" s="165">
        <f ca="1"/>
        <v>0</v>
      </c>
      <c r="AA169" s="165">
        <f ca="1"/>
        <v>8.5745864505069047E-3</v>
      </c>
      <c r="AB169" s="165">
        <f ca="1"/>
        <v>0</v>
      </c>
      <c r="AC169" s="165">
        <f ca="1"/>
        <v>2.0636523529492856E-2</v>
      </c>
      <c r="AD169" s="165">
        <f ca="1"/>
        <v>3.8303445550798676E-2</v>
      </c>
      <c r="AE169" s="140">
        <f ca="1"/>
        <v>6.7190017837057026E-2</v>
      </c>
      <c r="AI169" s="137"/>
      <c r="AK169" s="137"/>
      <c r="AM169" s="137"/>
      <c r="AN169" s="137"/>
      <c r="AO169" s="137"/>
      <c r="AR169" s="137"/>
      <c r="AT169" s="137"/>
      <c r="AV169" s="137"/>
      <c r="AW169" s="137"/>
      <c r="AX169" s="137"/>
    </row>
    <row r="170" spans="1:50" s="79" customFormat="1" ht="10.199999999999999" x14ac:dyDescent="0.2">
      <c r="A170" s="97">
        <f t="shared" ca="1" si="4"/>
        <v>159</v>
      </c>
      <c r="B170" s="68" t="s">
        <v>247</v>
      </c>
      <c r="C170" s="98">
        <v>0.4</v>
      </c>
      <c r="D170" s="69" t="s">
        <v>67</v>
      </c>
      <c r="E170" s="138" t="s">
        <v>87</v>
      </c>
      <c r="F170" s="158" t="s">
        <v>87</v>
      </c>
      <c r="G170" s="158">
        <v>7.3800000000000005E-4</v>
      </c>
      <c r="H170" s="158" t="s">
        <v>87</v>
      </c>
      <c r="I170" s="158">
        <v>2.0179999999999998E-3</v>
      </c>
      <c r="J170" s="158" t="s">
        <v>87</v>
      </c>
      <c r="K170" s="158">
        <v>2.4610000000000001E-3</v>
      </c>
      <c r="L170" s="158">
        <v>2.8050000000000002E-3</v>
      </c>
      <c r="M170" s="158">
        <v>3.5929999999999998E-3</v>
      </c>
      <c r="N170" s="139" cm="1">
        <f t="array" aca="1" ref="N170:AE170" ca="1">IF(OR(B170="",NOT($J$2)),"",GetStripDefaultProbability(A170,B170,Parameter_Date,CDSRollDate,E170:M170,SpreadCurveMaturities,D170,C170,$J$4,$J$6))</f>
        <v>0</v>
      </c>
      <c r="O170" s="165">
        <f ca="1"/>
        <v>0</v>
      </c>
      <c r="P170" s="165">
        <f ca="1"/>
        <v>1.3018142269859423E-3</v>
      </c>
      <c r="Q170" s="165">
        <f ca="1"/>
        <v>0</v>
      </c>
      <c r="R170" s="165">
        <f ca="1"/>
        <v>1.0448647395578936E-2</v>
      </c>
      <c r="S170" s="165">
        <f ca="1"/>
        <v>0</v>
      </c>
      <c r="T170" s="165">
        <f ca="1"/>
        <v>2.1127001686308766E-2</v>
      </c>
      <c r="U170" s="165">
        <f ca="1"/>
        <v>3.3724596318152611E-2</v>
      </c>
      <c r="V170" s="140">
        <f ca="1"/>
        <v>6.2905031813018986E-2</v>
      </c>
      <c r="W170" s="139">
        <f ca="1"/>
        <v>0</v>
      </c>
      <c r="X170" s="165">
        <f ca="1"/>
        <v>0</v>
      </c>
      <c r="Y170" s="165">
        <f ca="1"/>
        <v>1.4682500545684096E-3</v>
      </c>
      <c r="Z170" s="165">
        <f ca="1"/>
        <v>0</v>
      </c>
      <c r="AA170" s="165">
        <f ca="1"/>
        <v>1.0947750143693979E-2</v>
      </c>
      <c r="AB170" s="165">
        <f ca="1"/>
        <v>0</v>
      </c>
      <c r="AC170" s="165">
        <f ca="1"/>
        <v>2.2166547953403004E-2</v>
      </c>
      <c r="AD170" s="165">
        <f ca="1"/>
        <v>3.5378689522954976E-2</v>
      </c>
      <c r="AE170" s="140">
        <f ca="1"/>
        <v>6.5952527897533697E-2</v>
      </c>
      <c r="AI170" s="137"/>
      <c r="AK170" s="137"/>
      <c r="AM170" s="137"/>
      <c r="AN170" s="137"/>
      <c r="AO170" s="137"/>
      <c r="AR170" s="137"/>
      <c r="AT170" s="137"/>
      <c r="AV170" s="137"/>
      <c r="AW170" s="137"/>
      <c r="AX170" s="137"/>
    </row>
    <row r="171" spans="1:50" s="79" customFormat="1" ht="10.199999999999999" x14ac:dyDescent="0.2">
      <c r="A171" s="97">
        <f t="shared" ca="1" si="4"/>
        <v>160</v>
      </c>
      <c r="B171" s="68" t="s">
        <v>248</v>
      </c>
      <c r="C171" s="98">
        <v>0.4</v>
      </c>
      <c r="D171" s="69" t="s">
        <v>67</v>
      </c>
      <c r="E171" s="138" t="s">
        <v>87</v>
      </c>
      <c r="F171" s="158" t="s">
        <v>87</v>
      </c>
      <c r="G171" s="158">
        <v>9.7499999999999996E-4</v>
      </c>
      <c r="H171" s="158" t="s">
        <v>87</v>
      </c>
      <c r="I171" s="158">
        <v>3.0920000000000001E-3</v>
      </c>
      <c r="J171" s="158" t="s">
        <v>87</v>
      </c>
      <c r="K171" s="158">
        <v>4.8729999999999997E-3</v>
      </c>
      <c r="L171" s="158">
        <v>6.0260000000000001E-3</v>
      </c>
      <c r="M171" s="158">
        <v>7.0740000000000004E-3</v>
      </c>
      <c r="N171" s="139" cm="1">
        <f t="array" aca="1" ref="N171:AE171" ca="1">IF(OR(B171="",NOT($J$2)),"",GetStripDefaultProbability(A171,B171,Parameter_Date,CDSRollDate,E171:M171,SpreadCurveMaturities,D171,C171,$J$4,$J$6))</f>
        <v>0</v>
      </c>
      <c r="O171" s="165">
        <f ca="1"/>
        <v>0</v>
      </c>
      <c r="P171" s="165">
        <f ca="1"/>
        <v>1.7195195753378911E-3</v>
      </c>
      <c r="Q171" s="165">
        <f ca="1"/>
        <v>0</v>
      </c>
      <c r="R171" s="165">
        <f ca="1"/>
        <v>1.599682219309484E-2</v>
      </c>
      <c r="S171" s="165">
        <f ca="1"/>
        <v>0</v>
      </c>
      <c r="T171" s="165">
        <f ca="1"/>
        <v>4.2091886381380061E-2</v>
      </c>
      <c r="U171" s="165">
        <f ca="1"/>
        <v>7.2623938245857889E-2</v>
      </c>
      <c r="V171" s="140">
        <f ca="1"/>
        <v>0.12049405131891566</v>
      </c>
      <c r="W171" s="139">
        <f ca="1"/>
        <v>0</v>
      </c>
      <c r="X171" s="165">
        <f ca="1"/>
        <v>0</v>
      </c>
      <c r="Y171" s="165">
        <f ca="1"/>
        <v>1.8858857911606686E-3</v>
      </c>
      <c r="Z171" s="165">
        <f ca="1"/>
        <v>0</v>
      </c>
      <c r="AA171" s="165">
        <f ca="1"/>
        <v>1.6783595223711645E-2</v>
      </c>
      <c r="AB171" s="165">
        <f ca="1"/>
        <v>0</v>
      </c>
      <c r="AC171" s="165">
        <f ca="1"/>
        <v>4.4150067558629491E-2</v>
      </c>
      <c r="AD171" s="165">
        <f ca="1"/>
        <v>7.6137426393278473E-2</v>
      </c>
      <c r="AE171" s="140">
        <f ca="1"/>
        <v>0.12621819286502212</v>
      </c>
      <c r="AI171" s="137"/>
      <c r="AK171" s="137"/>
      <c r="AM171" s="137"/>
      <c r="AN171" s="137"/>
      <c r="AO171" s="137"/>
      <c r="AR171" s="137"/>
      <c r="AT171" s="137"/>
      <c r="AV171" s="137"/>
      <c r="AW171" s="137"/>
      <c r="AX171" s="137"/>
    </row>
    <row r="172" spans="1:50" s="79" customFormat="1" ht="10.199999999999999" x14ac:dyDescent="0.2">
      <c r="A172" s="97">
        <f t="shared" ca="1" si="4"/>
        <v>161</v>
      </c>
      <c r="B172" s="68" t="s">
        <v>249</v>
      </c>
      <c r="C172" s="98">
        <v>0.4</v>
      </c>
      <c r="D172" s="69" t="s">
        <v>67</v>
      </c>
      <c r="E172" s="138" t="s">
        <v>87</v>
      </c>
      <c r="F172" s="158" t="s">
        <v>87</v>
      </c>
      <c r="G172" s="158">
        <v>8.5298437190000007E-2</v>
      </c>
      <c r="H172" s="158" t="s">
        <v>87</v>
      </c>
      <c r="I172" s="158">
        <v>5.2450613260000001E-2</v>
      </c>
      <c r="J172" s="158" t="s">
        <v>87</v>
      </c>
      <c r="K172" s="158">
        <v>3.9500213579999999E-2</v>
      </c>
      <c r="L172" s="158">
        <v>3.2934272280000003E-2</v>
      </c>
      <c r="M172" s="158">
        <v>2.9231474059999998E-2</v>
      </c>
      <c r="N172" s="139" cm="1">
        <f t="array" aca="1" ref="N172:AE172" ca="1">IF(OR(B172="",NOT($J$2)),"",GetStripDefaultProbability(A172,B172,Parameter_Date,CDSRollDate,E172:M172,SpreadCurveMaturities,D172,C172,$J$4,$J$6))</f>
        <v>0</v>
      </c>
      <c r="O172" s="165">
        <f ca="1"/>
        <v>0</v>
      </c>
      <c r="P172" s="165">
        <f ca="1"/>
        <v>0.13976842551315916</v>
      </c>
      <c r="Q172" s="165">
        <f ca="1"/>
        <v>0</v>
      </c>
      <c r="R172" s="165">
        <f ca="1"/>
        <v>0.2259175363117476</v>
      </c>
      <c r="S172" s="165">
        <f ca="1"/>
        <v>0</v>
      </c>
      <c r="T172" s="165">
        <f ca="1"/>
        <v>0.26226451838136533</v>
      </c>
      <c r="U172" s="165">
        <f ca="1"/>
        <v>0.28801431875053118</v>
      </c>
      <c r="V172" s="140">
        <f ca="1"/>
        <v>0.34350288878851831</v>
      </c>
      <c r="W172" s="139">
        <f ca="1"/>
        <v>0</v>
      </c>
      <c r="X172" s="165">
        <f ca="1"/>
        <v>0</v>
      </c>
      <c r="Y172" s="165">
        <f ca="1"/>
        <v>0.14621937909182092</v>
      </c>
      <c r="Z172" s="165">
        <f ca="1"/>
        <v>0</v>
      </c>
      <c r="AA172" s="165">
        <f ca="1"/>
        <v>0.23541264264926798</v>
      </c>
      <c r="AB172" s="165">
        <f ca="1"/>
        <v>0</v>
      </c>
      <c r="AC172" s="165">
        <f ca="1"/>
        <v>0.27268634454284013</v>
      </c>
      <c r="AD172" s="165">
        <f ca="1"/>
        <v>0.29899955703958103</v>
      </c>
      <c r="AE172" s="140">
        <f ca="1"/>
        <v>0.35597039238752259</v>
      </c>
      <c r="AI172" s="137"/>
      <c r="AK172" s="137"/>
      <c r="AM172" s="137"/>
      <c r="AN172" s="137"/>
      <c r="AO172" s="137"/>
      <c r="AR172" s="137"/>
      <c r="AT172" s="137"/>
      <c r="AV172" s="137"/>
      <c r="AW172" s="137"/>
      <c r="AX172" s="137"/>
    </row>
    <row r="173" spans="1:50" s="79" customFormat="1" ht="10.199999999999999" x14ac:dyDescent="0.2">
      <c r="A173" s="97">
        <f t="shared" ca="1" si="4"/>
        <v>162</v>
      </c>
      <c r="B173" s="68" t="s">
        <v>250</v>
      </c>
      <c r="C173" s="98">
        <v>0.4</v>
      </c>
      <c r="D173" s="69" t="s">
        <v>67</v>
      </c>
      <c r="E173" s="138" t="s">
        <v>87</v>
      </c>
      <c r="F173" s="158" t="s">
        <v>87</v>
      </c>
      <c r="G173" s="158">
        <v>9.8200000000000002E-4</v>
      </c>
      <c r="H173" s="158" t="s">
        <v>87</v>
      </c>
      <c r="I173" s="158">
        <v>3.1849999999999999E-3</v>
      </c>
      <c r="J173" s="158" t="s">
        <v>87</v>
      </c>
      <c r="K173" s="158">
        <v>4.5840000000000004E-3</v>
      </c>
      <c r="L173" s="158">
        <v>5.8869999999999999E-3</v>
      </c>
      <c r="M173" s="158">
        <v>7.3340000000000002E-3</v>
      </c>
      <c r="N173" s="139" cm="1">
        <f t="array" aca="1" ref="N173:AE173" ca="1">IF(OR(B173="",NOT($J$2)),"",GetStripDefaultProbability(A173,B173,Parameter_Date,CDSRollDate,E173:M173,SpreadCurveMaturities,D173,C173,$J$4,$J$6))</f>
        <v>0</v>
      </c>
      <c r="O173" s="165">
        <f ca="1"/>
        <v>0</v>
      </c>
      <c r="P173" s="165">
        <f ca="1"/>
        <v>1.73185422804778E-3</v>
      </c>
      <c r="Q173" s="165">
        <f ca="1"/>
        <v>0</v>
      </c>
      <c r="R173" s="165">
        <f ca="1"/>
        <v>1.647806111415584E-2</v>
      </c>
      <c r="S173" s="165">
        <f ca="1"/>
        <v>0</v>
      </c>
      <c r="T173" s="165">
        <f ca="1"/>
        <v>3.9457388309688479E-2</v>
      </c>
      <c r="U173" s="165">
        <f ca="1"/>
        <v>7.1089424791324074E-2</v>
      </c>
      <c r="V173" s="140">
        <f ca="1"/>
        <v>0.12604929264049758</v>
      </c>
      <c r="W173" s="139">
        <f ca="1"/>
        <v>0</v>
      </c>
      <c r="X173" s="165">
        <f ca="1"/>
        <v>0</v>
      </c>
      <c r="Y173" s="165">
        <f ca="1"/>
        <v>1.8982183882574333E-3</v>
      </c>
      <c r="Z173" s="165">
        <f ca="1"/>
        <v>0</v>
      </c>
      <c r="AA173" s="165">
        <f ca="1"/>
        <v>1.7288506758485478E-2</v>
      </c>
      <c r="AB173" s="165">
        <f ca="1"/>
        <v>0</v>
      </c>
      <c r="AC173" s="165">
        <f ca="1"/>
        <v>4.1388284629494176E-2</v>
      </c>
      <c r="AD173" s="165">
        <f ca="1"/>
        <v>7.4530526670609221E-2</v>
      </c>
      <c r="AE173" s="140">
        <f ca="1"/>
        <v>0.13203846146271292</v>
      </c>
      <c r="AI173" s="137"/>
      <c r="AK173" s="137"/>
      <c r="AM173" s="137"/>
      <c r="AN173" s="137"/>
      <c r="AO173" s="137"/>
      <c r="AR173" s="137"/>
      <c r="AT173" s="137"/>
      <c r="AV173" s="137"/>
      <c r="AW173" s="137"/>
      <c r="AX173" s="137"/>
    </row>
    <row r="174" spans="1:50" s="79" customFormat="1" ht="10.199999999999999" x14ac:dyDescent="0.2">
      <c r="A174" s="97">
        <f t="shared" ca="1" si="4"/>
        <v>163</v>
      </c>
      <c r="B174" s="68" t="s">
        <v>251</v>
      </c>
      <c r="C174" s="98">
        <v>0.4</v>
      </c>
      <c r="D174" s="69" t="s">
        <v>67</v>
      </c>
      <c r="E174" s="138" t="s">
        <v>87</v>
      </c>
      <c r="F174" s="158" t="s">
        <v>87</v>
      </c>
      <c r="G174" s="158">
        <v>1.206E-3</v>
      </c>
      <c r="H174" s="158" t="s">
        <v>87</v>
      </c>
      <c r="I174" s="158">
        <v>2.8470000000000001E-3</v>
      </c>
      <c r="J174" s="158" t="s">
        <v>87</v>
      </c>
      <c r="K174" s="158">
        <v>4.6800000000000001E-3</v>
      </c>
      <c r="L174" s="158">
        <v>6.2880000000000002E-3</v>
      </c>
      <c r="M174" s="158">
        <v>7.5170000000000002E-3</v>
      </c>
      <c r="N174" s="139" cm="1">
        <f t="array" aca="1" ref="N174:AE174" ca="1">IF(OR(B174="",NOT($J$2)),"",GetStripDefaultProbability(A174,B174,Parameter_Date,CDSRollDate,E174:M174,SpreadCurveMaturities,D174,C174,$J$4,$J$6))</f>
        <v>0</v>
      </c>
      <c r="O174" s="165">
        <f ca="1"/>
        <v>0</v>
      </c>
      <c r="P174" s="165">
        <f ca="1"/>
        <v>2.1264832855441007E-3</v>
      </c>
      <c r="Q174" s="165">
        <f ca="1"/>
        <v>0</v>
      </c>
      <c r="R174" s="165">
        <f ca="1"/>
        <v>1.4694691203995025E-2</v>
      </c>
      <c r="S174" s="165">
        <f ca="1"/>
        <v>0</v>
      </c>
      <c r="T174" s="165">
        <f ca="1"/>
        <v>4.0483376471241783E-2</v>
      </c>
      <c r="U174" s="165">
        <f ca="1"/>
        <v>7.6362411450651591E-2</v>
      </c>
      <c r="V174" s="140">
        <f ca="1"/>
        <v>0.12872814094994678</v>
      </c>
      <c r="W174" s="139">
        <f ca="1"/>
        <v>0</v>
      </c>
      <c r="X174" s="165">
        <f ca="1"/>
        <v>0</v>
      </c>
      <c r="Y174" s="165">
        <f ca="1"/>
        <v>2.2927816797388978E-3</v>
      </c>
      <c r="Z174" s="165">
        <f ca="1"/>
        <v>0</v>
      </c>
      <c r="AA174" s="165">
        <f ca="1"/>
        <v>1.5418956871639522E-2</v>
      </c>
      <c r="AB174" s="165">
        <f ca="1"/>
        <v>0</v>
      </c>
      <c r="AC174" s="165">
        <f ca="1"/>
        <v>4.2465723838712721E-2</v>
      </c>
      <c r="AD174" s="165">
        <f ca="1"/>
        <v>8.0056178560235169E-2</v>
      </c>
      <c r="AE174" s="140">
        <f ca="1"/>
        <v>0.13483640002246711</v>
      </c>
      <c r="AI174" s="137"/>
      <c r="AK174" s="137"/>
      <c r="AM174" s="137"/>
      <c r="AN174" s="137"/>
      <c r="AO174" s="137"/>
      <c r="AR174" s="137"/>
      <c r="AT174" s="137"/>
      <c r="AV174" s="137"/>
      <c r="AW174" s="137"/>
      <c r="AX174" s="137"/>
    </row>
    <row r="175" spans="1:50" s="79" customFormat="1" ht="10.199999999999999" x14ac:dyDescent="0.2">
      <c r="A175" s="97">
        <f t="shared" ca="1" si="4"/>
        <v>164</v>
      </c>
      <c r="B175" s="68" t="s">
        <v>252</v>
      </c>
      <c r="C175" s="98">
        <v>0.4</v>
      </c>
      <c r="D175" s="69" t="s">
        <v>67</v>
      </c>
      <c r="E175" s="138" t="s">
        <v>87</v>
      </c>
      <c r="F175" s="158" t="s">
        <v>87</v>
      </c>
      <c r="G175" s="158">
        <v>5.0299999999999997E-4</v>
      </c>
      <c r="H175" s="158" t="s">
        <v>87</v>
      </c>
      <c r="I175" s="158">
        <v>2.1450000000000002E-3</v>
      </c>
      <c r="J175" s="158" t="s">
        <v>87</v>
      </c>
      <c r="K175" s="158">
        <v>2.9429999999999999E-3</v>
      </c>
      <c r="L175" s="158">
        <v>3.8409999999999998E-3</v>
      </c>
      <c r="M175" s="158">
        <v>4.9890000000000004E-3</v>
      </c>
      <c r="N175" s="139" cm="1">
        <f t="array" aca="1" ref="N175:AE175" ca="1">IF(OR(B175="",NOT($J$2)),"",GetStripDefaultProbability(A175,B175,Parameter_Date,CDSRollDate,E175:M175,SpreadCurveMaturities,D175,C175,$J$4,$J$6))</f>
        <v>0</v>
      </c>
      <c r="O175" s="165">
        <f ca="1"/>
        <v>0</v>
      </c>
      <c r="P175" s="165">
        <f ca="1"/>
        <v>8.8746255445681932E-4</v>
      </c>
      <c r="Q175" s="165">
        <f ca="1"/>
        <v>0</v>
      </c>
      <c r="R175" s="165">
        <f ca="1"/>
        <v>1.1140519471740662E-2</v>
      </c>
      <c r="S175" s="165">
        <f ca="1"/>
        <v>0</v>
      </c>
      <c r="T175" s="165">
        <f ca="1"/>
        <v>2.5425060506319097E-2</v>
      </c>
      <c r="U175" s="165">
        <f ca="1"/>
        <v>4.683124821747886E-2</v>
      </c>
      <c r="V175" s="140">
        <f ca="1"/>
        <v>8.7614379463839764E-2</v>
      </c>
      <c r="W175" s="139">
        <f ca="1"/>
        <v>0</v>
      </c>
      <c r="X175" s="165">
        <f ca="1"/>
        <v>0</v>
      </c>
      <c r="Y175" s="165">
        <f ca="1"/>
        <v>1.0539674348974959E-3</v>
      </c>
      <c r="Z175" s="165">
        <f ca="1"/>
        <v>0</v>
      </c>
      <c r="AA175" s="165">
        <f ca="1"/>
        <v>1.1670653213361248E-2</v>
      </c>
      <c r="AB175" s="165">
        <f ca="1"/>
        <v>0</v>
      </c>
      <c r="AC175" s="165">
        <f ca="1"/>
        <v>2.6673925382315722E-2</v>
      </c>
      <c r="AD175" s="165">
        <f ca="1"/>
        <v>4.9119090629524687E-2</v>
      </c>
      <c r="AE175" s="140">
        <f ca="1"/>
        <v>9.1845145764597791E-2</v>
      </c>
      <c r="AI175" s="137"/>
      <c r="AK175" s="137"/>
      <c r="AM175" s="137"/>
      <c r="AN175" s="137"/>
      <c r="AO175" s="137"/>
      <c r="AR175" s="137"/>
      <c r="AT175" s="137"/>
      <c r="AV175" s="137"/>
      <c r="AW175" s="137"/>
      <c r="AX175" s="137"/>
    </row>
    <row r="176" spans="1:50" s="79" customFormat="1" ht="10.199999999999999" x14ac:dyDescent="0.2">
      <c r="A176" s="97">
        <f t="shared" ca="1" si="4"/>
        <v>165</v>
      </c>
      <c r="B176" s="68" t="s">
        <v>253</v>
      </c>
      <c r="C176" s="98">
        <v>0.4</v>
      </c>
      <c r="D176" s="69" t="s">
        <v>67</v>
      </c>
      <c r="E176" s="138" t="s">
        <v>87</v>
      </c>
      <c r="F176" s="158" t="s">
        <v>87</v>
      </c>
      <c r="G176" s="158">
        <v>1.5280000000000001E-3</v>
      </c>
      <c r="H176" s="158" t="s">
        <v>87</v>
      </c>
      <c r="I176" s="158">
        <v>2.96E-3</v>
      </c>
      <c r="J176" s="158" t="s">
        <v>87</v>
      </c>
      <c r="K176" s="158">
        <v>4.5840000000000004E-3</v>
      </c>
      <c r="L176" s="158">
        <v>5.6340000000000001E-3</v>
      </c>
      <c r="M176" s="158">
        <v>7.4009999999999996E-3</v>
      </c>
      <c r="N176" s="139" cm="1">
        <f t="array" aca="1" ref="N176:AE176" ca="1">IF(OR(B176="",NOT($J$2)),"",GetStripDefaultProbability(A176,B176,Parameter_Date,CDSRollDate,E176:M176,SpreadCurveMaturities,D176,C176,$J$4,$J$6))</f>
        <v>0</v>
      </c>
      <c r="O176" s="165">
        <f ca="1"/>
        <v>0</v>
      </c>
      <c r="P176" s="165">
        <f ca="1"/>
        <v>2.693491453031438E-3</v>
      </c>
      <c r="Q176" s="165">
        <f ca="1"/>
        <v>0</v>
      </c>
      <c r="R176" s="165">
        <f ca="1"/>
        <v>1.5237382663066623E-2</v>
      </c>
      <c r="S176" s="165">
        <f ca="1"/>
        <v>0</v>
      </c>
      <c r="T176" s="165">
        <f ca="1"/>
        <v>3.9514034330711434E-2</v>
      </c>
      <c r="U176" s="165">
        <f ca="1"/>
        <v>6.7855662992722166E-2</v>
      </c>
      <c r="V176" s="140">
        <f ca="1"/>
        <v>0.12794766912298294</v>
      </c>
      <c r="W176" s="139">
        <f ca="1"/>
        <v>0</v>
      </c>
      <c r="X176" s="165">
        <f ca="1"/>
        <v>0</v>
      </c>
      <c r="Y176" s="165">
        <f ca="1"/>
        <v>2.8596953537578518E-3</v>
      </c>
      <c r="Z176" s="165">
        <f ca="1"/>
        <v>0</v>
      </c>
      <c r="AA176" s="165">
        <f ca="1"/>
        <v>1.5990405854754974E-2</v>
      </c>
      <c r="AB176" s="165">
        <f ca="1"/>
        <v>0</v>
      </c>
      <c r="AC176" s="165">
        <f ca="1"/>
        <v>4.1451265580603969E-2</v>
      </c>
      <c r="AD176" s="165">
        <f ca="1"/>
        <v>7.1147672714155008E-2</v>
      </c>
      <c r="AE176" s="140">
        <f ca="1"/>
        <v>0.13403519971193245</v>
      </c>
      <c r="AI176" s="137"/>
      <c r="AK176" s="137"/>
      <c r="AM176" s="137"/>
      <c r="AN176" s="137"/>
      <c r="AO176" s="137"/>
      <c r="AR176" s="137"/>
      <c r="AT176" s="137"/>
      <c r="AV176" s="137"/>
      <c r="AW176" s="137"/>
      <c r="AX176" s="137"/>
    </row>
    <row r="177" spans="1:50" s="79" customFormat="1" ht="10.199999999999999" x14ac:dyDescent="0.2">
      <c r="A177" s="97">
        <f t="shared" ca="1" si="4"/>
        <v>166</v>
      </c>
      <c r="B177" s="68" t="s">
        <v>254</v>
      </c>
      <c r="C177" s="98">
        <v>0.4</v>
      </c>
      <c r="D177" s="69" t="s">
        <v>67</v>
      </c>
      <c r="E177" s="138" t="s">
        <v>87</v>
      </c>
      <c r="F177" s="158" t="s">
        <v>87</v>
      </c>
      <c r="G177" s="158">
        <v>5.3899999999999998E-4</v>
      </c>
      <c r="H177" s="158" t="s">
        <v>87</v>
      </c>
      <c r="I177" s="158">
        <v>1.8E-3</v>
      </c>
      <c r="J177" s="158" t="s">
        <v>87</v>
      </c>
      <c r="K177" s="158">
        <v>2.6059999999999998E-3</v>
      </c>
      <c r="L177" s="158">
        <v>3.2690000000000002E-3</v>
      </c>
      <c r="M177" s="158">
        <v>3.885E-3</v>
      </c>
      <c r="N177" s="139" cm="1">
        <f t="array" aca="1" ref="N177:AE177" ca="1">IF(OR(B177="",NOT($J$2)),"",GetStripDefaultProbability(A177,B177,Parameter_Date,CDSRollDate,E177:M177,SpreadCurveMaturities,D177,C177,$J$4,$J$6))</f>
        <v>0</v>
      </c>
      <c r="O177" s="165">
        <f ca="1"/>
        <v>0</v>
      </c>
      <c r="P177" s="165">
        <f ca="1"/>
        <v>9.5094876995360789E-4</v>
      </c>
      <c r="Q177" s="165">
        <f ca="1"/>
        <v>0</v>
      </c>
      <c r="R177" s="165">
        <f ca="1"/>
        <v>9.3394486375369956E-3</v>
      </c>
      <c r="S177" s="165">
        <f ca="1"/>
        <v>0</v>
      </c>
      <c r="T177" s="165">
        <f ca="1"/>
        <v>2.2581482914178053E-2</v>
      </c>
      <c r="U177" s="165">
        <f ca="1"/>
        <v>3.9848116965432445E-2</v>
      </c>
      <c r="V177" s="140">
        <f ca="1"/>
        <v>6.770745205946116E-2</v>
      </c>
      <c r="W177" s="139">
        <f ca="1"/>
        <v>0</v>
      </c>
      <c r="X177" s="165">
        <f ca="1"/>
        <v>0</v>
      </c>
      <c r="Y177" s="165">
        <f ca="1"/>
        <v>1.1174430702367566E-3</v>
      </c>
      <c r="Z177" s="165">
        <f ca="1"/>
        <v>0</v>
      </c>
      <c r="AA177" s="165">
        <f ca="1"/>
        <v>9.8346551012631345E-3</v>
      </c>
      <c r="AB177" s="165">
        <f ca="1"/>
        <v>0</v>
      </c>
      <c r="AC177" s="165">
        <f ca="1"/>
        <v>2.3685852861382917E-2</v>
      </c>
      <c r="AD177" s="165">
        <f ca="1"/>
        <v>4.1793822884973464E-2</v>
      </c>
      <c r="AE177" s="140">
        <f ca="1"/>
        <v>7.0975737476400624E-2</v>
      </c>
      <c r="AI177" s="137"/>
      <c r="AK177" s="137"/>
      <c r="AM177" s="137"/>
      <c r="AN177" s="137"/>
      <c r="AO177" s="137"/>
      <c r="AR177" s="137"/>
      <c r="AT177" s="137"/>
      <c r="AV177" s="137"/>
      <c r="AW177" s="137"/>
      <c r="AX177" s="137"/>
    </row>
    <row r="178" spans="1:50" s="79" customFormat="1" ht="10.199999999999999" x14ac:dyDescent="0.2">
      <c r="A178" s="97">
        <f t="shared" ca="1" si="4"/>
        <v>167</v>
      </c>
      <c r="B178" s="68" t="s">
        <v>255</v>
      </c>
      <c r="C178" s="98">
        <v>0.4</v>
      </c>
      <c r="D178" s="69" t="s">
        <v>67</v>
      </c>
      <c r="E178" s="138" t="s">
        <v>87</v>
      </c>
      <c r="F178" s="158" t="s">
        <v>87</v>
      </c>
      <c r="G178" s="158">
        <v>6.2E-4</v>
      </c>
      <c r="H178" s="158" t="s">
        <v>87</v>
      </c>
      <c r="I178" s="158">
        <v>1.565E-3</v>
      </c>
      <c r="J178" s="158" t="s">
        <v>87</v>
      </c>
      <c r="K178" s="158">
        <v>2.1710000000000002E-3</v>
      </c>
      <c r="L178" s="158">
        <v>2.8279999999999998E-3</v>
      </c>
      <c r="M178" s="158">
        <v>3.6359999999999999E-3</v>
      </c>
      <c r="N178" s="139" cm="1">
        <f t="array" aca="1" ref="N178:AE178" ca="1">IF(OR(B178="",NOT($J$2)),"",GetStripDefaultProbability(A178,B178,Parameter_Date,CDSRollDate,E178:M178,SpreadCurveMaturities,D178,C178,$J$4,$J$6))</f>
        <v>0</v>
      </c>
      <c r="O178" s="165">
        <f ca="1"/>
        <v>0</v>
      </c>
      <c r="P178" s="165">
        <f ca="1"/>
        <v>1.093778114929278E-3</v>
      </c>
      <c r="Q178" s="165">
        <f ca="1"/>
        <v>0</v>
      </c>
      <c r="R178" s="165">
        <f ca="1"/>
        <v>8.1042277278565722E-3</v>
      </c>
      <c r="S178" s="165">
        <f ca="1"/>
        <v>0</v>
      </c>
      <c r="T178" s="165">
        <f ca="1"/>
        <v>1.8779436308452024E-2</v>
      </c>
      <c r="U178" s="165">
        <f ca="1"/>
        <v>3.4603166415729913E-2</v>
      </c>
      <c r="V178" s="140">
        <f ca="1"/>
        <v>6.4287281946628472E-2</v>
      </c>
      <c r="W178" s="139">
        <f ca="1"/>
        <v>0</v>
      </c>
      <c r="X178" s="165">
        <f ca="1"/>
        <v>0</v>
      </c>
      <c r="Y178" s="165">
        <f ca="1"/>
        <v>1.2602486123300949E-3</v>
      </c>
      <c r="Z178" s="165">
        <f ca="1"/>
        <v>0</v>
      </c>
      <c r="AA178" s="165">
        <f ca="1"/>
        <v>8.6000516476844036E-3</v>
      </c>
      <c r="AB178" s="165">
        <f ca="1"/>
        <v>0</v>
      </c>
      <c r="AC178" s="165">
        <f ca="1"/>
        <v>1.9691304919118524E-2</v>
      </c>
      <c r="AD178" s="165">
        <f ca="1"/>
        <v>3.6288998862882282E-2</v>
      </c>
      <c r="AE178" s="140">
        <f ca="1"/>
        <v>6.7391017437940182E-2</v>
      </c>
      <c r="AI178" s="137"/>
      <c r="AK178" s="137"/>
      <c r="AM178" s="137"/>
      <c r="AN178" s="137"/>
      <c r="AO178" s="137"/>
      <c r="AR178" s="137"/>
      <c r="AT178" s="137"/>
      <c r="AV178" s="137"/>
      <c r="AW178" s="137"/>
      <c r="AX178" s="137"/>
    </row>
    <row r="179" spans="1:50" s="79" customFormat="1" ht="10.199999999999999" x14ac:dyDescent="0.2">
      <c r="A179" s="97">
        <f t="shared" ca="1" si="4"/>
        <v>168</v>
      </c>
      <c r="B179" s="68" t="s">
        <v>256</v>
      </c>
      <c r="C179" s="98">
        <v>0.4</v>
      </c>
      <c r="D179" s="69" t="s">
        <v>67</v>
      </c>
      <c r="E179" s="138" t="s">
        <v>87</v>
      </c>
      <c r="F179" s="158" t="s">
        <v>87</v>
      </c>
      <c r="G179" s="158">
        <v>1.0510000000000001E-3</v>
      </c>
      <c r="H179" s="158" t="s">
        <v>87</v>
      </c>
      <c r="I179" s="158">
        <v>2.1979999999999999E-3</v>
      </c>
      <c r="J179" s="158" t="s">
        <v>87</v>
      </c>
      <c r="K179" s="158">
        <v>3.2330000000000002E-3</v>
      </c>
      <c r="L179" s="158">
        <v>4.267E-3</v>
      </c>
      <c r="M179" s="158">
        <v>5.1720000000000004E-3</v>
      </c>
      <c r="N179" s="139" cm="1">
        <f t="array" aca="1" ref="N179:AE179" ca="1">IF(OR(B179="",NOT($J$2)),"",GetStripDefaultProbability(A179,B179,Parameter_Date,CDSRollDate,E179:M179,SpreadCurveMaturities,D179,C179,$J$4,$J$6))</f>
        <v>0</v>
      </c>
      <c r="O179" s="165">
        <f ca="1"/>
        <v>0</v>
      </c>
      <c r="P179" s="165">
        <f ca="1"/>
        <v>1.8534305702412324E-3</v>
      </c>
      <c r="Q179" s="165">
        <f ca="1"/>
        <v>0</v>
      </c>
      <c r="R179" s="165">
        <f ca="1"/>
        <v>1.1343985853858207E-2</v>
      </c>
      <c r="S179" s="165">
        <f ca="1"/>
        <v>0</v>
      </c>
      <c r="T179" s="165">
        <f ca="1"/>
        <v>2.7927282228544903E-2</v>
      </c>
      <c r="U179" s="165">
        <f ca="1"/>
        <v>5.2007944877927703E-2</v>
      </c>
      <c r="V179" s="140">
        <f ca="1"/>
        <v>8.988575724206338E-2</v>
      </c>
      <c r="W179" s="139">
        <f ca="1"/>
        <v>0</v>
      </c>
      <c r="X179" s="165">
        <f ca="1"/>
        <v>0</v>
      </c>
      <c r="Y179" s="165">
        <f ca="1"/>
        <v>2.0197744694558928E-3</v>
      </c>
      <c r="Z179" s="165">
        <f ca="1"/>
        <v>0</v>
      </c>
      <c r="AA179" s="165">
        <f ca="1"/>
        <v>1.1887103098538021E-2</v>
      </c>
      <c r="AB179" s="165">
        <f ca="1"/>
        <v>0</v>
      </c>
      <c r="AC179" s="165">
        <f ca="1"/>
        <v>2.9301713498858017E-2</v>
      </c>
      <c r="AD179" s="165">
        <f ca="1"/>
        <v>5.4547939016912461E-2</v>
      </c>
      <c r="AE179" s="140">
        <f ca="1"/>
        <v>9.4194407730281204E-2</v>
      </c>
      <c r="AI179" s="137"/>
      <c r="AK179" s="137"/>
      <c r="AM179" s="137"/>
      <c r="AN179" s="137"/>
      <c r="AO179" s="137"/>
      <c r="AR179" s="137"/>
      <c r="AT179" s="137"/>
      <c r="AV179" s="137"/>
      <c r="AW179" s="137"/>
      <c r="AX179" s="137"/>
    </row>
    <row r="180" spans="1:50" s="79" customFormat="1" ht="10.199999999999999" x14ac:dyDescent="0.2">
      <c r="A180" s="97">
        <f t="shared" ca="1" si="4"/>
        <v>169</v>
      </c>
      <c r="B180" s="68" t="s">
        <v>257</v>
      </c>
      <c r="C180" s="98">
        <v>0.4</v>
      </c>
      <c r="D180" s="69" t="s">
        <v>67</v>
      </c>
      <c r="E180" s="138" t="s">
        <v>87</v>
      </c>
      <c r="F180" s="158" t="s">
        <v>87</v>
      </c>
      <c r="G180" s="158">
        <v>3.6499999999999998E-4</v>
      </c>
      <c r="H180" s="158" t="s">
        <v>87</v>
      </c>
      <c r="I180" s="158">
        <v>2.3809999999999999E-3</v>
      </c>
      <c r="J180" s="158" t="s">
        <v>87</v>
      </c>
      <c r="K180" s="158">
        <v>3.0400000000000002E-3</v>
      </c>
      <c r="L180" s="158">
        <v>3.901E-3</v>
      </c>
      <c r="M180" s="158">
        <v>4.914E-3</v>
      </c>
      <c r="N180" s="139" cm="1">
        <f t="array" aca="1" ref="N180:AE180" ca="1">IF(OR(B180="",NOT($J$2)),"",GetStripDefaultProbability(A180,B180,Parameter_Date,CDSRollDate,E180:M180,SpreadCurveMaturities,D180,C180,$J$4,$J$6))</f>
        <v>0</v>
      </c>
      <c r="O180" s="165">
        <f ca="1"/>
        <v>0</v>
      </c>
      <c r="P180" s="165">
        <f ca="1"/>
        <v>6.4406162687091761E-4</v>
      </c>
      <c r="Q180" s="165">
        <f ca="1"/>
        <v>0</v>
      </c>
      <c r="R180" s="165">
        <f ca="1"/>
        <v>1.2386505572852258E-2</v>
      </c>
      <c r="S180" s="165">
        <f ca="1"/>
        <v>0</v>
      </c>
      <c r="T180" s="165">
        <f ca="1"/>
        <v>2.6181765060021234E-2</v>
      </c>
      <c r="U180" s="165">
        <f ca="1"/>
        <v>4.7398543860498132E-2</v>
      </c>
      <c r="V180" s="140">
        <f ca="1"/>
        <v>8.5821815640042209E-2</v>
      </c>
      <c r="W180" s="139">
        <f ca="1"/>
        <v>0</v>
      </c>
      <c r="X180" s="165">
        <f ca="1"/>
        <v>0</v>
      </c>
      <c r="Y180" s="165">
        <f ca="1"/>
        <v>8.1060707075764071E-4</v>
      </c>
      <c r="Z180" s="165">
        <f ca="1"/>
        <v>0</v>
      </c>
      <c r="AA180" s="165">
        <f ca="1"/>
        <v>1.2974207573210439E-2</v>
      </c>
      <c r="AB180" s="165">
        <f ca="1"/>
        <v>0</v>
      </c>
      <c r="AC180" s="165">
        <f ca="1"/>
        <v>2.7466835685350355E-2</v>
      </c>
      <c r="AD180" s="165">
        <f ca="1"/>
        <v>4.9712188645613442E-2</v>
      </c>
      <c r="AE180" s="140">
        <f ca="1"/>
        <v>8.993845641043352E-2</v>
      </c>
      <c r="AI180" s="137"/>
      <c r="AK180" s="137"/>
      <c r="AM180" s="137"/>
      <c r="AN180" s="137"/>
      <c r="AO180" s="137"/>
      <c r="AR180" s="137"/>
      <c r="AT180" s="137"/>
      <c r="AV180" s="137"/>
      <c r="AW180" s="137"/>
      <c r="AX180" s="137"/>
    </row>
    <row r="181" spans="1:50" s="79" customFormat="1" ht="10.199999999999999" x14ac:dyDescent="0.2">
      <c r="A181" s="97">
        <f t="shared" ca="1" si="4"/>
        <v>170</v>
      </c>
      <c r="B181" s="68" t="s">
        <v>258</v>
      </c>
      <c r="C181" s="98">
        <v>0.4</v>
      </c>
      <c r="D181" s="69" t="s">
        <v>67</v>
      </c>
      <c r="E181" s="138" t="s">
        <v>87</v>
      </c>
      <c r="F181" s="158" t="s">
        <v>87</v>
      </c>
      <c r="G181" s="158">
        <v>1.371E-3</v>
      </c>
      <c r="H181" s="158" t="s">
        <v>87</v>
      </c>
      <c r="I181" s="158">
        <v>1.9380000000000001E-3</v>
      </c>
      <c r="J181" s="158" t="s">
        <v>87</v>
      </c>
      <c r="K181" s="158">
        <v>3.3289999999999999E-3</v>
      </c>
      <c r="L181" s="158">
        <v>4.4219999999999997E-3</v>
      </c>
      <c r="M181" s="158">
        <v>5.3169999999999997E-3</v>
      </c>
      <c r="N181" s="139" cm="1">
        <f t="array" aca="1" ref="N181:AE181" ca="1">IF(OR(B181="",NOT($J$2)),"",GetStripDefaultProbability(A181,B181,Parameter_Date,CDSRollDate,E181:M181,SpreadCurveMaturities,D181,C181,$J$4,$J$6))</f>
        <v>0</v>
      </c>
      <c r="O181" s="165">
        <f ca="1"/>
        <v>0</v>
      </c>
      <c r="P181" s="165">
        <f ca="1"/>
        <v>2.417070880986194E-3</v>
      </c>
      <c r="Q181" s="165">
        <f ca="1"/>
        <v>0</v>
      </c>
      <c r="R181" s="165">
        <f ca="1"/>
        <v>9.9494129624126959E-3</v>
      </c>
      <c r="S181" s="165">
        <f ca="1"/>
        <v>0</v>
      </c>
      <c r="T181" s="165">
        <f ca="1"/>
        <v>2.8894727388083075E-2</v>
      </c>
      <c r="U181" s="165">
        <f ca="1"/>
        <v>5.4043641895201056E-2</v>
      </c>
      <c r="V181" s="140">
        <f ca="1"/>
        <v>9.2385589408752633E-2</v>
      </c>
      <c r="W181" s="139">
        <f ca="1"/>
        <v>0</v>
      </c>
      <c r="X181" s="165">
        <f ca="1"/>
        <v>0</v>
      </c>
      <c r="Y181" s="165">
        <f ca="1"/>
        <v>2.583320847954762E-3</v>
      </c>
      <c r="Z181" s="165">
        <f ca="1"/>
        <v>0</v>
      </c>
      <c r="AA181" s="165">
        <f ca="1"/>
        <v>1.0444314520212328E-2</v>
      </c>
      <c r="AB181" s="165">
        <f ca="1"/>
        <v>0</v>
      </c>
      <c r="AC181" s="165">
        <f ca="1"/>
        <v>3.0316550302912915E-2</v>
      </c>
      <c r="AD181" s="165">
        <f ca="1"/>
        <v>5.6682318836460577E-2</v>
      </c>
      <c r="AE181" s="140">
        <f ca="1"/>
        <v>9.6810355963431793E-2</v>
      </c>
      <c r="AI181" s="137"/>
      <c r="AK181" s="137"/>
      <c r="AM181" s="137"/>
      <c r="AN181" s="137"/>
      <c r="AO181" s="137"/>
      <c r="AR181" s="137"/>
      <c r="AT181" s="137"/>
      <c r="AV181" s="137"/>
      <c r="AW181" s="137"/>
      <c r="AX181" s="137"/>
    </row>
    <row r="182" spans="1:50" s="79" customFormat="1" ht="10.199999999999999" x14ac:dyDescent="0.2">
      <c r="A182" s="97">
        <f t="shared" ca="1" si="4"/>
        <v>171</v>
      </c>
      <c r="B182" s="68" t="s">
        <v>259</v>
      </c>
      <c r="C182" s="98">
        <v>0.4</v>
      </c>
      <c r="D182" s="69" t="s">
        <v>67</v>
      </c>
      <c r="E182" s="138" t="s">
        <v>87</v>
      </c>
      <c r="F182" s="158" t="s">
        <v>87</v>
      </c>
      <c r="G182" s="158">
        <v>4.4099999999999999E-4</v>
      </c>
      <c r="H182" s="158" t="s">
        <v>87</v>
      </c>
      <c r="I182" s="158">
        <v>1.4480000000000001E-3</v>
      </c>
      <c r="J182" s="158" t="s">
        <v>87</v>
      </c>
      <c r="K182" s="158">
        <v>2.0270000000000002E-3</v>
      </c>
      <c r="L182" s="158">
        <v>2.7499999999999998E-3</v>
      </c>
      <c r="M182" s="158">
        <v>3.6189999999999998E-3</v>
      </c>
      <c r="N182" s="139" cm="1">
        <f t="array" aca="1" ref="N182:AE182" ca="1">IF(OR(B182="",NOT($J$2)),"",GetStripDefaultProbability(A182,B182,Parameter_Date,CDSRollDate,E182:M182,SpreadCurveMaturities,D182,C182,$J$4,$J$6))</f>
        <v>0</v>
      </c>
      <c r="O182" s="165">
        <f ca="1"/>
        <v>0</v>
      </c>
      <c r="P182" s="165">
        <f ca="1"/>
        <v>7.7811579577946599E-4</v>
      </c>
      <c r="Q182" s="165">
        <f ca="1"/>
        <v>0</v>
      </c>
      <c r="R182" s="165">
        <f ca="1"/>
        <v>7.5171810867102895E-3</v>
      </c>
      <c r="S182" s="165">
        <f ca="1"/>
        <v>0</v>
      </c>
      <c r="T182" s="165">
        <f ca="1"/>
        <v>1.7567347632593155E-2</v>
      </c>
      <c r="U182" s="165">
        <f ca="1"/>
        <v>3.3811622035933908E-2</v>
      </c>
      <c r="V182" s="140">
        <f ca="1"/>
        <v>6.4355550376990256E-2</v>
      </c>
      <c r="W182" s="139">
        <f ca="1"/>
        <v>0</v>
      </c>
      <c r="X182" s="165">
        <f ca="1"/>
        <v>0</v>
      </c>
      <c r="Y182" s="165">
        <f ca="1"/>
        <v>9.4463889915497035E-4</v>
      </c>
      <c r="Z182" s="165">
        <f ca="1"/>
        <v>0</v>
      </c>
      <c r="AA182" s="165">
        <f ca="1"/>
        <v>8.0132984565141063E-3</v>
      </c>
      <c r="AB182" s="165">
        <f ca="1"/>
        <v>0</v>
      </c>
      <c r="AC182" s="165">
        <f ca="1"/>
        <v>1.8396743580625596E-2</v>
      </c>
      <c r="AD182" s="165">
        <f ca="1"/>
        <v>3.5457239723444056E-2</v>
      </c>
      <c r="AE182" s="140">
        <f ca="1"/>
        <v>6.7461654948826388E-2</v>
      </c>
      <c r="AI182" s="137"/>
      <c r="AK182" s="137"/>
      <c r="AM182" s="137"/>
      <c r="AN182" s="137"/>
      <c r="AO182" s="137"/>
      <c r="AR182" s="137"/>
      <c r="AT182" s="137"/>
      <c r="AV182" s="137"/>
      <c r="AW182" s="137"/>
      <c r="AX182" s="137"/>
    </row>
    <row r="183" spans="1:50" s="79" customFormat="1" ht="10.199999999999999" x14ac:dyDescent="0.2">
      <c r="A183" s="97">
        <f t="shared" ca="1" si="4"/>
        <v>172</v>
      </c>
      <c r="B183" s="68" t="s">
        <v>260</v>
      </c>
      <c r="C183" s="98">
        <v>0.4</v>
      </c>
      <c r="D183" s="69" t="s">
        <v>67</v>
      </c>
      <c r="E183" s="138" t="s">
        <v>87</v>
      </c>
      <c r="F183" s="158" t="s">
        <v>87</v>
      </c>
      <c r="G183" s="158">
        <v>7.6599999999999997E-4</v>
      </c>
      <c r="H183" s="158" t="s">
        <v>87</v>
      </c>
      <c r="I183" s="158">
        <v>2.5040000000000001E-3</v>
      </c>
      <c r="J183" s="158" t="s">
        <v>87</v>
      </c>
      <c r="K183" s="158">
        <v>3.2330000000000002E-3</v>
      </c>
      <c r="L183" s="158">
        <v>4.2339999999999999E-3</v>
      </c>
      <c r="M183" s="158">
        <v>5.1450000000000003E-3</v>
      </c>
      <c r="N183" s="139" cm="1">
        <f t="array" aca="1" ref="N183:AE183" ca="1">IF(OR(B183="",NOT($J$2)),"",GetStripDefaultProbability(A183,B183,Parameter_Date,CDSRollDate,E183:M183,SpreadCurveMaturities,D183,C183,$J$4,$J$6))</f>
        <v>0</v>
      </c>
      <c r="O183" s="165">
        <f ca="1"/>
        <v>0</v>
      </c>
      <c r="P183" s="165">
        <f ca="1"/>
        <v>1.3511724156507476E-3</v>
      </c>
      <c r="Q183" s="165">
        <f ca="1"/>
        <v>0</v>
      </c>
      <c r="R183" s="165">
        <f ca="1"/>
        <v>1.2972560022911472E-2</v>
      </c>
      <c r="S183" s="165">
        <f ca="1"/>
        <v>0</v>
      </c>
      <c r="T183" s="165">
        <f ca="1"/>
        <v>2.779117227543193E-2</v>
      </c>
      <c r="U183" s="165">
        <f ca="1"/>
        <v>5.14366102131808E-2</v>
      </c>
      <c r="V183" s="140">
        <f ca="1"/>
        <v>8.9290235484524749E-2</v>
      </c>
      <c r="W183" s="139">
        <f ca="1"/>
        <v>0</v>
      </c>
      <c r="X183" s="165">
        <f ca="1"/>
        <v>0</v>
      </c>
      <c r="Y183" s="165">
        <f ca="1"/>
        <v>1.5176000175608495E-3</v>
      </c>
      <c r="Z183" s="165">
        <f ca="1"/>
        <v>0</v>
      </c>
      <c r="AA183" s="165">
        <f ca="1"/>
        <v>1.3609224371953443E-2</v>
      </c>
      <c r="AB183" s="165">
        <f ca="1"/>
        <v>0</v>
      </c>
      <c r="AC183" s="165">
        <f ca="1"/>
        <v>2.9155176990585785E-2</v>
      </c>
      <c r="AD183" s="165">
        <f ca="1"/>
        <v>5.3944419538178523E-2</v>
      </c>
      <c r="AE183" s="140">
        <f ca="1"/>
        <v>9.3566277309887425E-2</v>
      </c>
      <c r="AI183" s="137"/>
      <c r="AK183" s="137"/>
      <c r="AM183" s="137"/>
      <c r="AN183" s="137"/>
      <c r="AO183" s="137"/>
      <c r="AR183" s="137"/>
      <c r="AT183" s="137"/>
      <c r="AV183" s="137"/>
      <c r="AW183" s="137"/>
      <c r="AX183" s="137"/>
    </row>
    <row r="184" spans="1:50" s="79" customFormat="1" ht="10.199999999999999" x14ac:dyDescent="0.2">
      <c r="A184" s="97">
        <f t="shared" ca="1" si="4"/>
        <v>173</v>
      </c>
      <c r="B184" s="68" t="s">
        <v>261</v>
      </c>
      <c r="C184" s="98">
        <v>0.4</v>
      </c>
      <c r="D184" s="69" t="s">
        <v>67</v>
      </c>
      <c r="E184" s="138" t="s">
        <v>87</v>
      </c>
      <c r="F184" s="158" t="s">
        <v>87</v>
      </c>
      <c r="G184" s="158">
        <v>1.694E-3</v>
      </c>
      <c r="H184" s="158" t="s">
        <v>87</v>
      </c>
      <c r="I184" s="158">
        <v>4.3359999999999996E-3</v>
      </c>
      <c r="J184" s="158" t="s">
        <v>87</v>
      </c>
      <c r="K184" s="158">
        <v>7.3819999999999997E-3</v>
      </c>
      <c r="L184" s="158">
        <v>9.6019999999999994E-3</v>
      </c>
      <c r="M184" s="158">
        <v>1.2803E-2</v>
      </c>
      <c r="N184" s="139" cm="1">
        <f t="array" aca="1" ref="N184:AE184" ca="1">IF(OR(B184="",NOT($J$2)),"",GetStripDefaultProbability(A184,B184,Parameter_Date,CDSRollDate,E184:M184,SpreadCurveMaturities,D184,C184,$J$4,$J$6))</f>
        <v>0</v>
      </c>
      <c r="O184" s="165">
        <f ca="1"/>
        <v>0</v>
      </c>
      <c r="P184" s="165">
        <f ca="1"/>
        <v>2.9856751746529797E-3</v>
      </c>
      <c r="Q184" s="165">
        <f ca="1"/>
        <v>0</v>
      </c>
      <c r="R184" s="165">
        <f ca="1"/>
        <v>2.2333046289561342E-2</v>
      </c>
      <c r="S184" s="165">
        <f ca="1"/>
        <v>0</v>
      </c>
      <c r="T184" s="165">
        <f ca="1"/>
        <v>6.3469258624754943E-2</v>
      </c>
      <c r="U184" s="165">
        <f ca="1"/>
        <v>0.11472137999417831</v>
      </c>
      <c r="V184" s="140">
        <f ca="1"/>
        <v>0.21573720123070217</v>
      </c>
      <c r="W184" s="139">
        <f ca="1"/>
        <v>0</v>
      </c>
      <c r="X184" s="165">
        <f ca="1"/>
        <v>0</v>
      </c>
      <c r="Y184" s="165">
        <f ca="1"/>
        <v>3.1518303821533866E-3</v>
      </c>
      <c r="Z184" s="165">
        <f ca="1"/>
        <v>0</v>
      </c>
      <c r="AA184" s="165">
        <f ca="1"/>
        <v>2.3434646973693019E-2</v>
      </c>
      <c r="AB184" s="165">
        <f ca="1"/>
        <v>0</v>
      </c>
      <c r="AC184" s="165">
        <f ca="1"/>
        <v>6.6549229203954896E-2</v>
      </c>
      <c r="AD184" s="165">
        <f ca="1"/>
        <v>0.12021424752820598</v>
      </c>
      <c r="AE184" s="140">
        <f ca="1"/>
        <v>0.2256530347817296</v>
      </c>
      <c r="AI184" s="137"/>
      <c r="AK184" s="137"/>
      <c r="AM184" s="137"/>
      <c r="AN184" s="137"/>
      <c r="AO184" s="137"/>
      <c r="AR184" s="137"/>
      <c r="AT184" s="137"/>
      <c r="AV184" s="137"/>
      <c r="AW184" s="137"/>
      <c r="AX184" s="137"/>
    </row>
    <row r="185" spans="1:50" s="79" customFormat="1" ht="10.199999999999999" x14ac:dyDescent="0.2">
      <c r="A185" s="97">
        <f t="shared" ca="1" si="4"/>
        <v>174</v>
      </c>
      <c r="B185" s="68" t="s">
        <v>262</v>
      </c>
      <c r="C185" s="98">
        <v>0.4</v>
      </c>
      <c r="D185" s="69" t="s">
        <v>67</v>
      </c>
      <c r="E185" s="138" t="s">
        <v>87</v>
      </c>
      <c r="F185" s="158">
        <v>5.5999999999999995E-4</v>
      </c>
      <c r="G185" s="158">
        <v>6.9999999999999999E-4</v>
      </c>
      <c r="H185" s="158">
        <v>1.1199999999999999E-3</v>
      </c>
      <c r="I185" s="158">
        <v>1.5399999999999999E-3</v>
      </c>
      <c r="J185" s="158" t="s">
        <v>87</v>
      </c>
      <c r="K185" s="158">
        <v>2.3700000000000001E-3</v>
      </c>
      <c r="L185" s="158">
        <v>2.65E-3</v>
      </c>
      <c r="M185" s="158">
        <v>3.0699999999999998E-3</v>
      </c>
      <c r="N185" s="139" cm="1">
        <f t="array" aca="1" ref="N185:AE185" ca="1">IF(OR(B185="",NOT($J$2)),"",GetStripDefaultProbability(A185,B185,Parameter_Date,CDSRollDate,E185:M185,SpreadCurveMaturities,D185,C185,$J$4,$J$6))</f>
        <v>0</v>
      </c>
      <c r="O185" s="165">
        <f ca="1"/>
        <v>5.224693876556552E-4</v>
      </c>
      <c r="P185" s="165">
        <f ca="1"/>
        <v>1.2380186773914836E-3</v>
      </c>
      <c r="Q185" s="165">
        <f ca="1"/>
        <v>3.8877523192236696E-3</v>
      </c>
      <c r="R185" s="165">
        <f ca="1"/>
        <v>8.0011224439613393E-3</v>
      </c>
      <c r="S185" s="165">
        <f ca="1"/>
        <v>0</v>
      </c>
      <c r="T185" s="165">
        <f ca="1"/>
        <v>2.0616975307399921E-2</v>
      </c>
      <c r="U185" s="165">
        <f ca="1"/>
        <v>3.2080441079680777E-2</v>
      </c>
      <c r="V185" s="140">
        <f ca="1"/>
        <v>5.3267601899139483E-2</v>
      </c>
      <c r="W185" s="139">
        <f ca="1"/>
        <v>0</v>
      </c>
      <c r="X185" s="165">
        <f ca="1"/>
        <v>6.1573817274318543E-4</v>
      </c>
      <c r="Y185" s="165">
        <f ca="1"/>
        <v>1.4044651366784677E-3</v>
      </c>
      <c r="Z185" s="165">
        <f ca="1"/>
        <v>4.2197344016952076E-3</v>
      </c>
      <c r="AA185" s="165">
        <f ca="1"/>
        <v>8.49699790354419E-3</v>
      </c>
      <c r="AB185" s="165">
        <f ca="1"/>
        <v>0</v>
      </c>
      <c r="AC185" s="165">
        <f ca="1"/>
        <v>2.1617008133154592E-2</v>
      </c>
      <c r="AD185" s="165">
        <f ca="1"/>
        <v>3.3640741218264325E-2</v>
      </c>
      <c r="AE185" s="140">
        <f ca="1"/>
        <v>5.5843487913788237E-2</v>
      </c>
      <c r="AH185" s="137"/>
      <c r="AI185" s="137"/>
      <c r="AJ185" s="137"/>
      <c r="AK185" s="137"/>
      <c r="AM185" s="137"/>
      <c r="AN185" s="137"/>
      <c r="AO185" s="137"/>
      <c r="AQ185" s="137"/>
      <c r="AR185" s="137"/>
      <c r="AS185" s="137"/>
      <c r="AT185" s="137"/>
      <c r="AV185" s="137"/>
      <c r="AW185" s="137"/>
      <c r="AX185" s="137"/>
    </row>
    <row r="186" spans="1:50" s="79" customFormat="1" ht="10.199999999999999" x14ac:dyDescent="0.2">
      <c r="A186" s="97">
        <f t="shared" ca="1" si="4"/>
        <v>175</v>
      </c>
      <c r="B186" s="68" t="s">
        <v>263</v>
      </c>
      <c r="C186" s="98">
        <v>0.4</v>
      </c>
      <c r="D186" s="69" t="s">
        <v>67</v>
      </c>
      <c r="E186" s="138" t="s">
        <v>87</v>
      </c>
      <c r="F186" s="158" t="s">
        <v>87</v>
      </c>
      <c r="G186" s="158">
        <v>3.5379999999999999E-3</v>
      </c>
      <c r="H186" s="158" t="s">
        <v>87</v>
      </c>
      <c r="I186" s="158">
        <v>6.4209999999999996E-3</v>
      </c>
      <c r="J186" s="158" t="s">
        <v>87</v>
      </c>
      <c r="K186" s="158">
        <v>1.0614999999999999E-2</v>
      </c>
      <c r="L186" s="158">
        <v>1.2324E-2</v>
      </c>
      <c r="M186" s="158">
        <v>1.4395E-2</v>
      </c>
      <c r="N186" s="139" cm="1">
        <f t="array" aca="1" ref="N186:AE186" ca="1">IF(OR(B186="",NOT($J$2)),"",GetStripDefaultProbability(A186,B186,Parameter_Date,CDSRollDate,E186:M186,SpreadCurveMaturities,D186,C186,$J$4,$J$6))</f>
        <v>0</v>
      </c>
      <c r="O186" s="165">
        <f ca="1"/>
        <v>0</v>
      </c>
      <c r="P186" s="165">
        <f ca="1"/>
        <v>6.2256785415787386E-3</v>
      </c>
      <c r="Q186" s="165">
        <f ca="1"/>
        <v>0</v>
      </c>
      <c r="R186" s="165">
        <f ca="1"/>
        <v>3.2781020951689555E-2</v>
      </c>
      <c r="S186" s="165">
        <f ca="1"/>
        <v>0</v>
      </c>
      <c r="T186" s="165">
        <f ca="1"/>
        <v>9.0054597788033375E-2</v>
      </c>
      <c r="U186" s="165">
        <f ca="1"/>
        <v>0.14328286493325737</v>
      </c>
      <c r="V186" s="140">
        <f ca="1"/>
        <v>0.23225296507603732</v>
      </c>
      <c r="W186" s="139">
        <f ca="1"/>
        <v>0</v>
      </c>
      <c r="X186" s="165">
        <f ca="1"/>
        <v>0</v>
      </c>
      <c r="Y186" s="165">
        <f ca="1"/>
        <v>6.5357652656882204E-3</v>
      </c>
      <c r="Z186" s="165">
        <f ca="1"/>
        <v>0</v>
      </c>
      <c r="AA186" s="165">
        <f ca="1"/>
        <v>3.4389383351140612E-2</v>
      </c>
      <c r="AB186" s="165">
        <f ca="1"/>
        <v>0</v>
      </c>
      <c r="AC186" s="165">
        <f ca="1"/>
        <v>9.4404055562463673E-2</v>
      </c>
      <c r="AD186" s="165">
        <f ca="1"/>
        <v>0.15002401633911666</v>
      </c>
      <c r="AE186" s="140">
        <f ca="1"/>
        <v>0.24269636836567821</v>
      </c>
      <c r="AI186" s="137"/>
      <c r="AK186" s="137"/>
      <c r="AM186" s="137"/>
      <c r="AN186" s="137"/>
      <c r="AO186" s="137"/>
      <c r="AR186" s="137"/>
      <c r="AT186" s="137"/>
      <c r="AV186" s="137"/>
      <c r="AW186" s="137"/>
      <c r="AX186" s="137"/>
    </row>
    <row r="187" spans="1:50" s="79" customFormat="1" ht="10.199999999999999" x14ac:dyDescent="0.2">
      <c r="A187" s="97">
        <f t="shared" ca="1" si="4"/>
        <v>176</v>
      </c>
      <c r="B187" s="68" t="s">
        <v>264</v>
      </c>
      <c r="C187" s="98">
        <v>0.4</v>
      </c>
      <c r="D187" s="69" t="s">
        <v>67</v>
      </c>
      <c r="E187" s="138" t="s">
        <v>87</v>
      </c>
      <c r="F187" s="158" t="s">
        <v>87</v>
      </c>
      <c r="G187" s="158">
        <v>1.0579999999999999E-3</v>
      </c>
      <c r="H187" s="158" t="s">
        <v>87</v>
      </c>
      <c r="I187" s="158">
        <v>1.954E-3</v>
      </c>
      <c r="J187" s="158" t="s">
        <v>87</v>
      </c>
      <c r="K187" s="158">
        <v>2.6059999999999998E-3</v>
      </c>
      <c r="L187" s="158">
        <v>2.7680000000000001E-3</v>
      </c>
      <c r="M187" s="158">
        <v>3.1749999999999999E-3</v>
      </c>
      <c r="N187" s="139" cm="1">
        <f t="array" aca="1" ref="N187:AE187" ca="1">IF(OR(B187="",NOT($J$2)),"",GetStripDefaultProbability(A187,B187,Parameter_Date,CDSRollDate,E187:M187,SpreadCurveMaturities,D187,C187,$J$4,$J$6))</f>
        <v>0</v>
      </c>
      <c r="O187" s="165">
        <f ca="1"/>
        <v>0</v>
      </c>
      <c r="P187" s="165">
        <f ca="1"/>
        <v>1.8657635812646678E-3</v>
      </c>
      <c r="Q187" s="165">
        <f ca="1"/>
        <v>0</v>
      </c>
      <c r="R187" s="165">
        <f ca="1"/>
        <v>1.0073610129630928E-2</v>
      </c>
      <c r="S187" s="165">
        <f ca="1"/>
        <v>0</v>
      </c>
      <c r="T187" s="165">
        <f ca="1"/>
        <v>2.2426278143713119E-2</v>
      </c>
      <c r="U187" s="165">
        <f ca="1"/>
        <v>3.3076526320759969E-2</v>
      </c>
      <c r="V187" s="140">
        <f ca="1"/>
        <v>5.4545704190132605E-2</v>
      </c>
      <c r="W187" s="139">
        <f ca="1"/>
        <v>0</v>
      </c>
      <c r="X187" s="165">
        <f ca="1"/>
        <v>0</v>
      </c>
      <c r="Y187" s="165">
        <f ca="1"/>
        <v>2.032105425139874E-3</v>
      </c>
      <c r="Z187" s="165">
        <f ca="1"/>
        <v>0</v>
      </c>
      <c r="AA187" s="165">
        <f ca="1"/>
        <v>1.0568449604425711E-2</v>
      </c>
      <c r="AB187" s="165">
        <f ca="1"/>
        <v>0</v>
      </c>
      <c r="AC187" s="165">
        <f ca="1"/>
        <v>2.3530269608717069E-2</v>
      </c>
      <c r="AD187" s="165">
        <f ca="1"/>
        <v>3.4699421146230147E-2</v>
      </c>
      <c r="AE187" s="140">
        <f ca="1"/>
        <v>5.7195485313823013E-2</v>
      </c>
      <c r="AI187" s="137"/>
      <c r="AK187" s="137"/>
      <c r="AM187" s="137"/>
      <c r="AN187" s="137"/>
      <c r="AO187" s="137"/>
      <c r="AR187" s="137"/>
      <c r="AT187" s="137"/>
      <c r="AV187" s="137"/>
      <c r="AW187" s="137"/>
      <c r="AX187" s="137"/>
    </row>
    <row r="188" spans="1:50" s="79" customFormat="1" ht="10.199999999999999" x14ac:dyDescent="0.2">
      <c r="A188" s="97">
        <f t="shared" ca="1" si="4"/>
        <v>177</v>
      </c>
      <c r="B188" s="68" t="s">
        <v>265</v>
      </c>
      <c r="C188" s="98">
        <v>0.4</v>
      </c>
      <c r="D188" s="69" t="s">
        <v>67</v>
      </c>
      <c r="E188" s="138" t="s">
        <v>87</v>
      </c>
      <c r="F188" s="158" t="s">
        <v>87</v>
      </c>
      <c r="G188" s="158">
        <v>1.206E-3</v>
      </c>
      <c r="H188" s="158" t="s">
        <v>87</v>
      </c>
      <c r="I188" s="158">
        <v>3.0339999999999998E-3</v>
      </c>
      <c r="J188" s="158" t="s">
        <v>87</v>
      </c>
      <c r="K188" s="158">
        <v>4.8250000000000003E-3</v>
      </c>
      <c r="L188" s="158">
        <v>5.8199999999999997E-3</v>
      </c>
      <c r="M188" s="158">
        <v>6.8149999999999999E-3</v>
      </c>
      <c r="N188" s="139" cm="1">
        <f t="array" aca="1" ref="N188:AE188" ca="1">IF(OR(B188="",NOT($J$2)),"",GetStripDefaultProbability(A188,B188,Parameter_Date,CDSRollDate,E188:M188,SpreadCurveMaturities,D188,C188,$J$4,$J$6))</f>
        <v>0</v>
      </c>
      <c r="O188" s="165">
        <f ca="1"/>
        <v>0</v>
      </c>
      <c r="P188" s="165">
        <f ca="1"/>
        <v>2.1264832855441007E-3</v>
      </c>
      <c r="Q188" s="165">
        <f ca="1"/>
        <v>0</v>
      </c>
      <c r="R188" s="165">
        <f ca="1"/>
        <v>1.5664703390158685E-2</v>
      </c>
      <c r="S188" s="165">
        <f ca="1"/>
        <v>0</v>
      </c>
      <c r="T188" s="165">
        <f ca="1"/>
        <v>4.166573089233272E-2</v>
      </c>
      <c r="U188" s="165">
        <f ca="1"/>
        <v>7.0003716570514407E-2</v>
      </c>
      <c r="V188" s="140">
        <f ca="1"/>
        <v>0.11603251398642789</v>
      </c>
      <c r="W188" s="139">
        <f ca="1"/>
        <v>0</v>
      </c>
      <c r="X188" s="165">
        <f ca="1"/>
        <v>0</v>
      </c>
      <c r="Y188" s="165">
        <f ca="1"/>
        <v>2.2927816797388978E-3</v>
      </c>
      <c r="Z188" s="165">
        <f ca="1"/>
        <v>0</v>
      </c>
      <c r="AA188" s="165">
        <f ca="1"/>
        <v>1.6436656055372811E-2</v>
      </c>
      <c r="AB188" s="165">
        <f ca="1"/>
        <v>0</v>
      </c>
      <c r="AC188" s="165">
        <f ca="1"/>
        <v>4.3704816123267154E-2</v>
      </c>
      <c r="AD188" s="165">
        <f ca="1"/>
        <v>7.3394745421952123E-2</v>
      </c>
      <c r="AE188" s="140">
        <f ca="1"/>
        <v>0.12155413550021565</v>
      </c>
      <c r="AI188" s="137"/>
      <c r="AK188" s="137"/>
      <c r="AM188" s="137"/>
      <c r="AN188" s="137"/>
      <c r="AO188" s="137"/>
      <c r="AR188" s="137"/>
      <c r="AT188" s="137"/>
      <c r="AV188" s="137"/>
      <c r="AW188" s="137"/>
      <c r="AX188" s="137"/>
    </row>
    <row r="189" spans="1:50" s="79" customFormat="1" ht="10.199999999999999" x14ac:dyDescent="0.2">
      <c r="A189" s="97">
        <f t="shared" ca="1" si="4"/>
        <v>178</v>
      </c>
      <c r="B189" s="68" t="s">
        <v>266</v>
      </c>
      <c r="C189" s="98">
        <v>0.4</v>
      </c>
      <c r="D189" s="69" t="s">
        <v>67</v>
      </c>
      <c r="E189" s="138" t="s">
        <v>87</v>
      </c>
      <c r="F189" s="158" t="s">
        <v>87</v>
      </c>
      <c r="G189" s="158">
        <v>2.6489999999999999E-3</v>
      </c>
      <c r="H189" s="158" t="s">
        <v>87</v>
      </c>
      <c r="I189" s="158">
        <v>4.8570000000000002E-3</v>
      </c>
      <c r="J189" s="158" t="s">
        <v>87</v>
      </c>
      <c r="K189" s="158">
        <v>7.2859999999999999E-3</v>
      </c>
      <c r="L189" s="158">
        <v>8.4169999999999991E-3</v>
      </c>
      <c r="M189" s="158">
        <v>9.5029999999999993E-3</v>
      </c>
      <c r="N189" s="139" cm="1">
        <f t="array" aca="1" ref="N189:AE189" ca="1">IF(OR(B189="",NOT($J$2)),"",GetStripDefaultProbability(A189,B189,Parameter_Date,CDSRollDate,E189:M189,SpreadCurveMaturities,D189,C189,$J$4,$J$6))</f>
        <v>0</v>
      </c>
      <c r="O189" s="165">
        <f ca="1"/>
        <v>0</v>
      </c>
      <c r="P189" s="165">
        <f ca="1"/>
        <v>4.6649639564133594E-3</v>
      </c>
      <c r="Q189" s="165">
        <f ca="1"/>
        <v>0</v>
      </c>
      <c r="R189" s="165">
        <f ca="1"/>
        <v>2.488290584799624E-2</v>
      </c>
      <c r="S189" s="165">
        <f ca="1"/>
        <v>0</v>
      </c>
      <c r="T189" s="165">
        <f ca="1"/>
        <v>6.214686717931861E-2</v>
      </c>
      <c r="U189" s="165">
        <f ca="1"/>
        <v>9.9265992137743564E-2</v>
      </c>
      <c r="V189" s="140">
        <f ca="1"/>
        <v>0.15703751968702018</v>
      </c>
      <c r="W189" s="139">
        <f ca="1"/>
        <v>0</v>
      </c>
      <c r="X189" s="165">
        <f ca="1"/>
        <v>0</v>
      </c>
      <c r="Y189" s="165">
        <f ca="1"/>
        <v>4.8846599157758019E-3</v>
      </c>
      <c r="Z189" s="165">
        <f ca="1"/>
        <v>0</v>
      </c>
      <c r="AA189" s="165">
        <f ca="1"/>
        <v>2.6110664206877576E-2</v>
      </c>
      <c r="AB189" s="165">
        <f ca="1"/>
        <v>0</v>
      </c>
      <c r="AC189" s="165">
        <f ca="1"/>
        <v>6.5163953904289418E-2</v>
      </c>
      <c r="AD189" s="165">
        <f ca="1"/>
        <v>0.10401035396606595</v>
      </c>
      <c r="AE189" s="140">
        <f ca="1"/>
        <v>0.16435364176159628</v>
      </c>
      <c r="AI189" s="137"/>
      <c r="AK189" s="137"/>
      <c r="AM189" s="137"/>
      <c r="AN189" s="137"/>
      <c r="AO189" s="137"/>
      <c r="AR189" s="137"/>
      <c r="AT189" s="137"/>
      <c r="AV189" s="137"/>
      <c r="AW189" s="137"/>
      <c r="AX189" s="137"/>
    </row>
    <row r="190" spans="1:50" s="79" customFormat="1" ht="10.199999999999999" x14ac:dyDescent="0.2">
      <c r="A190" s="97">
        <f t="shared" ca="1" si="4"/>
        <v>179</v>
      </c>
      <c r="B190" s="68" t="s">
        <v>267</v>
      </c>
      <c r="C190" s="98">
        <v>0.4</v>
      </c>
      <c r="D190" s="69" t="s">
        <v>67</v>
      </c>
      <c r="E190" s="138" t="s">
        <v>87</v>
      </c>
      <c r="F190" s="158" t="s">
        <v>87</v>
      </c>
      <c r="G190" s="158">
        <v>1.451E-3</v>
      </c>
      <c r="H190" s="158" t="s">
        <v>87</v>
      </c>
      <c r="I190" s="158">
        <v>4.3909999999999999E-3</v>
      </c>
      <c r="J190" s="158" t="s">
        <v>87</v>
      </c>
      <c r="K190" s="158">
        <v>6.803E-3</v>
      </c>
      <c r="L190" s="158">
        <v>8.1539999999999998E-3</v>
      </c>
      <c r="M190" s="158">
        <v>9.9399999999999992E-3</v>
      </c>
      <c r="N190" s="139" cm="1">
        <f t="array" aca="1" ref="N190:AE190" ca="1">IF(OR(B190="",NOT($J$2)),"",GetStripDefaultProbability(A190,B190,Parameter_Date,CDSRollDate,E190:M190,SpreadCurveMaturities,D190,C190,$J$4,$J$6))</f>
        <v>0</v>
      </c>
      <c r="O190" s="165">
        <f ca="1"/>
        <v>0</v>
      </c>
      <c r="P190" s="165">
        <f ca="1"/>
        <v>2.557931621356424E-3</v>
      </c>
      <c r="Q190" s="165">
        <f ca="1"/>
        <v>0</v>
      </c>
      <c r="R190" s="165">
        <f ca="1"/>
        <v>2.2651267400424557E-2</v>
      </c>
      <c r="S190" s="165">
        <f ca="1"/>
        <v>0</v>
      </c>
      <c r="T190" s="165">
        <f ca="1"/>
        <v>5.8359095054985488E-2</v>
      </c>
      <c r="U190" s="165">
        <f ca="1"/>
        <v>9.6954258228641788E-2</v>
      </c>
      <c r="V190" s="140">
        <f ca="1"/>
        <v>0.16685463080299445</v>
      </c>
      <c r="W190" s="139">
        <f ca="1"/>
        <v>0</v>
      </c>
      <c r="X190" s="165">
        <f ca="1"/>
        <v>0</v>
      </c>
      <c r="Y190" s="165">
        <f ca="1"/>
        <v>2.7241581134751502E-3</v>
      </c>
      <c r="Z190" s="165">
        <f ca="1"/>
        <v>0</v>
      </c>
      <c r="AA190" s="165">
        <f ca="1"/>
        <v>2.376677254111681E-2</v>
      </c>
      <c r="AB190" s="165">
        <f ca="1"/>
        <v>0</v>
      </c>
      <c r="AC190" s="165">
        <f ca="1"/>
        <v>6.1195656124102826E-2</v>
      </c>
      <c r="AD190" s="165">
        <f ca="1"/>
        <v>0.10159538528049972</v>
      </c>
      <c r="AE190" s="140">
        <f ca="1"/>
        <v>0.17463318992641796</v>
      </c>
      <c r="AI190" s="137"/>
      <c r="AK190" s="137"/>
      <c r="AM190" s="137"/>
      <c r="AN190" s="137"/>
      <c r="AO190" s="137"/>
      <c r="AR190" s="137"/>
      <c r="AT190" s="137"/>
      <c r="AV190" s="137"/>
      <c r="AW190" s="137"/>
      <c r="AX190" s="137"/>
    </row>
    <row r="191" spans="1:50" s="79" customFormat="1" ht="10.199999999999999" x14ac:dyDescent="0.2">
      <c r="A191" s="97">
        <f t="shared" ca="1" si="4"/>
        <v>180</v>
      </c>
      <c r="B191" s="68" t="s">
        <v>268</v>
      </c>
      <c r="C191" s="98">
        <v>0.4</v>
      </c>
      <c r="D191" s="69" t="s">
        <v>67</v>
      </c>
      <c r="E191" s="138" t="s">
        <v>87</v>
      </c>
      <c r="F191" s="158" t="s">
        <v>87</v>
      </c>
      <c r="G191" s="158">
        <v>1.689E-3</v>
      </c>
      <c r="H191" s="158" t="s">
        <v>87</v>
      </c>
      <c r="I191" s="158">
        <v>2.6540000000000001E-3</v>
      </c>
      <c r="J191" s="158" t="s">
        <v>87</v>
      </c>
      <c r="K191" s="158">
        <v>3.2810000000000001E-3</v>
      </c>
      <c r="L191" s="158">
        <v>3.3289999999999999E-3</v>
      </c>
      <c r="M191" s="158">
        <v>3.4740000000000001E-3</v>
      </c>
      <c r="N191" s="139" cm="1">
        <f t="array" aca="1" ref="N191:AE191" ca="1">IF(OR(B191="",NOT($J$2)),"",GetStripDefaultProbability(A191,B191,Parameter_Date,CDSRollDate,E191:M191,SpreadCurveMaturities,D191,C191,$J$4,$J$6))</f>
        <v>0</v>
      </c>
      <c r="O191" s="165">
        <f ca="1"/>
        <v>0</v>
      </c>
      <c r="P191" s="165">
        <f ca="1"/>
        <v>2.9768757001609192E-3</v>
      </c>
      <c r="Q191" s="165">
        <f ca="1"/>
        <v>0</v>
      </c>
      <c r="R191" s="165">
        <f ca="1"/>
        <v>1.3628283040047262E-2</v>
      </c>
      <c r="S191" s="165">
        <f ca="1"/>
        <v>0</v>
      </c>
      <c r="T191" s="165">
        <f ca="1"/>
        <v>2.8011614974875254E-2</v>
      </c>
      <c r="U191" s="165">
        <f ca="1"/>
        <v>3.9282911278835764E-2</v>
      </c>
      <c r="V191" s="140">
        <f ca="1"/>
        <v>5.8128915981976892E-2</v>
      </c>
      <c r="W191" s="139">
        <f ca="1"/>
        <v>0</v>
      </c>
      <c r="X191" s="165">
        <f ca="1"/>
        <v>0</v>
      </c>
      <c r="Y191" s="165">
        <f ca="1"/>
        <v>3.1430323741244992E-3</v>
      </c>
      <c r="Z191" s="165">
        <f ca="1"/>
        <v>0</v>
      </c>
      <c r="AA191" s="165">
        <f ca="1"/>
        <v>1.4303147143505113E-2</v>
      </c>
      <c r="AB191" s="165">
        <f ca="1"/>
        <v>0</v>
      </c>
      <c r="AC191" s="165">
        <f ca="1"/>
        <v>2.9391636066878002E-2</v>
      </c>
      <c r="AD191" s="165">
        <f ca="1"/>
        <v>4.1207750996191672E-2</v>
      </c>
      <c r="AE191" s="140">
        <f ca="1"/>
        <v>6.094616559255539E-2</v>
      </c>
      <c r="AI191" s="137"/>
      <c r="AK191" s="137"/>
      <c r="AM191" s="137"/>
      <c r="AN191" s="137"/>
      <c r="AO191" s="137"/>
      <c r="AR191" s="137"/>
      <c r="AT191" s="137"/>
      <c r="AV191" s="137"/>
      <c r="AW191" s="137"/>
      <c r="AX191" s="137"/>
    </row>
    <row r="192" spans="1:50" s="79" customFormat="1" ht="10.199999999999999" x14ac:dyDescent="0.2">
      <c r="A192" s="97">
        <f t="shared" ca="1" si="4"/>
        <v>181</v>
      </c>
      <c r="B192" s="68" t="s">
        <v>269</v>
      </c>
      <c r="C192" s="98">
        <v>0.4</v>
      </c>
      <c r="D192" s="69" t="s">
        <v>67</v>
      </c>
      <c r="E192" s="138" t="s">
        <v>87</v>
      </c>
      <c r="F192" s="158" t="s">
        <v>87</v>
      </c>
      <c r="G192" s="158">
        <v>5.1599999999999997E-4</v>
      </c>
      <c r="H192" s="158" t="s">
        <v>87</v>
      </c>
      <c r="I192" s="158">
        <v>1.9E-3</v>
      </c>
      <c r="J192" s="158" t="s">
        <v>87</v>
      </c>
      <c r="K192" s="158">
        <v>2.7499999999999998E-3</v>
      </c>
      <c r="L192" s="158">
        <v>3.5500000000000002E-3</v>
      </c>
      <c r="M192" s="158">
        <v>4.5999999999999999E-3</v>
      </c>
      <c r="N192" s="139" cm="1">
        <f t="array" aca="1" ref="N192:AE192" ca="1">IF(OR(B192="",NOT($J$2)),"",GetStripDefaultProbability(A192,B192,Parameter_Date,CDSRollDate,E192:M192,SpreadCurveMaturities,D192,C192,$J$4,$J$6))</f>
        <v>0</v>
      </c>
      <c r="O192" s="165">
        <f ca="1"/>
        <v>0</v>
      </c>
      <c r="P192" s="165">
        <f ca="1"/>
        <v>9.1038859420722318E-4</v>
      </c>
      <c r="Q192" s="165">
        <f ca="1"/>
        <v>0</v>
      </c>
      <c r="R192" s="165">
        <f ca="1"/>
        <v>9.8633393729474772E-3</v>
      </c>
      <c r="S192" s="165">
        <f ca="1"/>
        <v>0</v>
      </c>
      <c r="T192" s="165">
        <f ca="1"/>
        <v>2.382513656788432E-2</v>
      </c>
      <c r="U192" s="165">
        <f ca="1"/>
        <v>4.3346061655410439E-2</v>
      </c>
      <c r="V192" s="140">
        <f ca="1"/>
        <v>8.0982744663969042E-2</v>
      </c>
      <c r="W192" s="139">
        <f ca="1"/>
        <v>0</v>
      </c>
      <c r="X192" s="165">
        <f ca="1"/>
        <v>0</v>
      </c>
      <c r="Y192" s="165">
        <f ca="1"/>
        <v>1.0768896539856687E-3</v>
      </c>
      <c r="Z192" s="165">
        <f ca="1"/>
        <v>0</v>
      </c>
      <c r="AA192" s="165">
        <f ca="1"/>
        <v>1.035828395680638E-2</v>
      </c>
      <c r="AB192" s="165">
        <f ca="1"/>
        <v>0</v>
      </c>
      <c r="AC192" s="165">
        <f ca="1"/>
        <v>2.49930205115938E-2</v>
      </c>
      <c r="AD192" s="165">
        <f ca="1"/>
        <v>4.546356143481145E-2</v>
      </c>
      <c r="AE192" s="140">
        <f ca="1"/>
        <v>8.4875740242893349E-2</v>
      </c>
      <c r="AI192" s="137"/>
      <c r="AK192" s="137"/>
      <c r="AM192" s="137"/>
      <c r="AN192" s="137"/>
      <c r="AO192" s="137"/>
      <c r="AR192" s="137"/>
      <c r="AT192" s="137"/>
      <c r="AV192" s="137"/>
      <c r="AW192" s="137"/>
      <c r="AX192" s="137"/>
    </row>
    <row r="193" spans="1:50" s="79" customFormat="1" ht="10.199999999999999" x14ac:dyDescent="0.2">
      <c r="A193" s="97">
        <f t="shared" ca="1" si="4"/>
        <v>182</v>
      </c>
      <c r="B193" s="68" t="s">
        <v>270</v>
      </c>
      <c r="C193" s="98">
        <v>0.4</v>
      </c>
      <c r="D193" s="69" t="s">
        <v>67</v>
      </c>
      <c r="E193" s="138" t="s">
        <v>87</v>
      </c>
      <c r="F193" s="158" t="s">
        <v>87</v>
      </c>
      <c r="G193" s="158">
        <v>4.7899999999999999E-4</v>
      </c>
      <c r="H193" s="158" t="s">
        <v>87</v>
      </c>
      <c r="I193" s="158">
        <v>1.351E-3</v>
      </c>
      <c r="J193" s="158" t="s">
        <v>87</v>
      </c>
      <c r="K193" s="158">
        <v>2.075E-3</v>
      </c>
      <c r="L193" s="158">
        <v>2.895E-3</v>
      </c>
      <c r="M193" s="158">
        <v>3.9569999999999996E-3</v>
      </c>
      <c r="N193" s="139" cm="1">
        <f t="array" aca="1" ref="N193:AE193" ca="1">IF(OR(B193="",NOT($J$2)),"",GetStripDefaultProbability(A193,B193,Parameter_Date,CDSRollDate,E193:M193,SpreadCurveMaturities,D193,C193,$J$4,$J$6))</f>
        <v>0</v>
      </c>
      <c r="O193" s="165">
        <f ca="1"/>
        <v>0</v>
      </c>
      <c r="P193" s="165">
        <f ca="1"/>
        <v>8.4513618602499729E-4</v>
      </c>
      <c r="Q193" s="165">
        <f ca="1"/>
        <v>0</v>
      </c>
      <c r="R193" s="165">
        <f ca="1"/>
        <v>7.0062548964492377E-3</v>
      </c>
      <c r="S193" s="165">
        <f ca="1"/>
        <v>0</v>
      </c>
      <c r="T193" s="165">
        <f ca="1"/>
        <v>1.804944983137502E-2</v>
      </c>
      <c r="U193" s="165">
        <f ca="1"/>
        <v>3.5730103725092555E-2</v>
      </c>
      <c r="V193" s="140">
        <f ca="1"/>
        <v>7.0739626944078093E-2</v>
      </c>
      <c r="W193" s="139">
        <f ca="1"/>
        <v>0</v>
      </c>
      <c r="X193" s="165">
        <f ca="1"/>
        <v>0</v>
      </c>
      <c r="Y193" s="165">
        <f ca="1"/>
        <v>1.0116481202604444E-3</v>
      </c>
      <c r="Z193" s="165">
        <f ca="1"/>
        <v>0</v>
      </c>
      <c r="AA193" s="165">
        <f ca="1"/>
        <v>7.5026276654448498E-3</v>
      </c>
      <c r="AB193" s="165">
        <f ca="1"/>
        <v>0</v>
      </c>
      <c r="AC193" s="165">
        <f ca="1"/>
        <v>1.891885655515313E-2</v>
      </c>
      <c r="AD193" s="165">
        <f ca="1"/>
        <v>3.7464749086311366E-2</v>
      </c>
      <c r="AE193" s="140">
        <f ca="1"/>
        <v>7.4142781165197125E-2</v>
      </c>
      <c r="AI193" s="137"/>
      <c r="AK193" s="137"/>
      <c r="AM193" s="137"/>
      <c r="AN193" s="137"/>
      <c r="AO193" s="137"/>
      <c r="AR193" s="137"/>
      <c r="AT193" s="137"/>
      <c r="AV193" s="137"/>
      <c r="AW193" s="137"/>
      <c r="AX193" s="137"/>
    </row>
    <row r="194" spans="1:50" s="79" customFormat="1" ht="10.199999999999999" x14ac:dyDescent="0.2">
      <c r="A194" s="97">
        <f t="shared" ca="1" si="4"/>
        <v>183</v>
      </c>
      <c r="B194" s="68" t="s">
        <v>271</v>
      </c>
      <c r="C194" s="98">
        <v>0.4</v>
      </c>
      <c r="D194" s="69" t="s">
        <v>67</v>
      </c>
      <c r="E194" s="138" t="s">
        <v>87</v>
      </c>
      <c r="F194" s="158" t="s">
        <v>87</v>
      </c>
      <c r="G194" s="158">
        <v>4.7899999999999999E-4</v>
      </c>
      <c r="H194" s="158" t="s">
        <v>87</v>
      </c>
      <c r="I194" s="158">
        <v>1.433E-3</v>
      </c>
      <c r="J194" s="158" t="s">
        <v>87</v>
      </c>
      <c r="K194" s="158">
        <v>2.075E-3</v>
      </c>
      <c r="L194" s="158">
        <v>2.7659999999999998E-3</v>
      </c>
      <c r="M194" s="158">
        <v>3.5569999999999998E-3</v>
      </c>
      <c r="N194" s="139" cm="1">
        <f t="array" aca="1" ref="N194:AE194" ca="1">IF(OR(B194="",NOT($J$2)),"",GetStripDefaultProbability(A194,B194,Parameter_Date,CDSRollDate,E194:M194,SpreadCurveMaturities,D194,C194,$J$4,$J$6))</f>
        <v>0</v>
      </c>
      <c r="O194" s="165">
        <f ca="1"/>
        <v>0</v>
      </c>
      <c r="P194" s="165">
        <f ca="1"/>
        <v>8.4513618602499729E-4</v>
      </c>
      <c r="Q194" s="165">
        <f ca="1"/>
        <v>0</v>
      </c>
      <c r="R194" s="165">
        <f ca="1"/>
        <v>7.4340477307573982E-3</v>
      </c>
      <c r="S194" s="165">
        <f ca="1"/>
        <v>0</v>
      </c>
      <c r="T194" s="165">
        <f ca="1"/>
        <v>1.8004173299761006E-2</v>
      </c>
      <c r="U194" s="165">
        <f ca="1"/>
        <v>3.3976283974757493E-2</v>
      </c>
      <c r="V194" s="140">
        <f ca="1"/>
        <v>6.3046921092120956E-2</v>
      </c>
      <c r="W194" s="139">
        <f ca="1"/>
        <v>0</v>
      </c>
      <c r="X194" s="165">
        <f ca="1"/>
        <v>0</v>
      </c>
      <c r="Y194" s="165">
        <f ca="1"/>
        <v>1.0116481202604444E-3</v>
      </c>
      <c r="Z194" s="165">
        <f ca="1"/>
        <v>0</v>
      </c>
      <c r="AA194" s="165">
        <f ca="1"/>
        <v>7.9302066568591734E-3</v>
      </c>
      <c r="AB194" s="165">
        <f ca="1"/>
        <v>0</v>
      </c>
      <c r="AC194" s="165">
        <f ca="1"/>
        <v>1.8873545762323474E-2</v>
      </c>
      <c r="AD194" s="165">
        <f ca="1"/>
        <v>3.5627532123822858E-2</v>
      </c>
      <c r="AE194" s="140">
        <f ca="1"/>
        <v>6.6088381468485391E-2</v>
      </c>
      <c r="AI194" s="137"/>
      <c r="AK194" s="137"/>
      <c r="AM194" s="137"/>
      <c r="AN194" s="137"/>
      <c r="AO194" s="137"/>
      <c r="AR194" s="137"/>
      <c r="AT194" s="137"/>
      <c r="AV194" s="137"/>
      <c r="AW194" s="137"/>
      <c r="AX194" s="137"/>
    </row>
    <row r="195" spans="1:50" s="79" customFormat="1" ht="10.199999999999999" x14ac:dyDescent="0.2">
      <c r="A195" s="97">
        <f t="shared" ca="1" si="4"/>
        <v>184</v>
      </c>
      <c r="B195" s="68" t="s">
        <v>272</v>
      </c>
      <c r="C195" s="98">
        <v>0.4</v>
      </c>
      <c r="D195" s="69" t="s">
        <v>67</v>
      </c>
      <c r="E195" s="138" t="s">
        <v>87</v>
      </c>
      <c r="F195" s="158" t="s">
        <v>87</v>
      </c>
      <c r="G195" s="158">
        <v>8.5499999999999997E-4</v>
      </c>
      <c r="H195" s="158" t="s">
        <v>87</v>
      </c>
      <c r="I195" s="158">
        <v>1.8420000000000001E-3</v>
      </c>
      <c r="J195" s="158" t="s">
        <v>87</v>
      </c>
      <c r="K195" s="158">
        <v>2.895E-3</v>
      </c>
      <c r="L195" s="158">
        <v>3.1580000000000002E-3</v>
      </c>
      <c r="M195" s="158">
        <v>3.79E-3</v>
      </c>
      <c r="N195" s="139" cm="1">
        <f t="array" aca="1" ref="N195:AE195" ca="1">IF(OR(B195="",NOT($J$2)),"",GetStripDefaultProbability(A195,B195,Parameter_Date,CDSRollDate,E195:M195,SpreadCurveMaturities,D195,C195,$J$4,$J$6))</f>
        <v>0</v>
      </c>
      <c r="O195" s="165">
        <f ca="1"/>
        <v>0</v>
      </c>
      <c r="P195" s="165">
        <f ca="1"/>
        <v>1.5080448679525293E-3</v>
      </c>
      <c r="Q195" s="165">
        <f ca="1"/>
        <v>0</v>
      </c>
      <c r="R195" s="165">
        <f ca="1"/>
        <v>9.5170314611867646E-3</v>
      </c>
      <c r="S195" s="165">
        <f ca="1"/>
        <v>0</v>
      </c>
      <c r="T195" s="165">
        <f ca="1"/>
        <v>2.5117570254784893E-2</v>
      </c>
      <c r="U195" s="165">
        <f ca="1"/>
        <v>3.8009852446675096E-2</v>
      </c>
      <c r="V195" s="140">
        <f ca="1"/>
        <v>6.5690087875505787E-2</v>
      </c>
      <c r="W195" s="139">
        <f ca="1"/>
        <v>0</v>
      </c>
      <c r="X195" s="165">
        <f ca="1"/>
        <v>0</v>
      </c>
      <c r="Y195" s="165">
        <f ca="1"/>
        <v>1.6744463266473719E-3</v>
      </c>
      <c r="Z195" s="165">
        <f ca="1"/>
        <v>0</v>
      </c>
      <c r="AA195" s="165">
        <f ca="1"/>
        <v>1.0012149155677497E-2</v>
      </c>
      <c r="AB195" s="165">
        <f ca="1"/>
        <v>0</v>
      </c>
      <c r="AC195" s="165">
        <f ca="1"/>
        <v>2.6349181211177353E-2</v>
      </c>
      <c r="AD195" s="165">
        <f ca="1"/>
        <v>3.9868442698606343E-2</v>
      </c>
      <c r="AE195" s="140">
        <f ca="1"/>
        <v>6.8863686075652297E-2</v>
      </c>
      <c r="AI195" s="137"/>
      <c r="AK195" s="137"/>
      <c r="AM195" s="137"/>
      <c r="AN195" s="137"/>
      <c r="AO195" s="137"/>
      <c r="AR195" s="137"/>
      <c r="AT195" s="137"/>
      <c r="AV195" s="137"/>
      <c r="AW195" s="137"/>
      <c r="AX195" s="137"/>
    </row>
    <row r="196" spans="1:50" s="79" customFormat="1" ht="10.199999999999999" x14ac:dyDescent="0.2">
      <c r="A196" s="97">
        <f t="shared" ca="1" si="4"/>
        <v>185</v>
      </c>
      <c r="B196" s="68" t="s">
        <v>273</v>
      </c>
      <c r="C196" s="98">
        <v>0.4</v>
      </c>
      <c r="D196" s="69" t="s">
        <v>67</v>
      </c>
      <c r="E196" s="138" t="s">
        <v>87</v>
      </c>
      <c r="F196" s="158" t="s">
        <v>87</v>
      </c>
      <c r="G196" s="158">
        <v>4.15E-4</v>
      </c>
      <c r="H196" s="158" t="s">
        <v>87</v>
      </c>
      <c r="I196" s="158">
        <v>1.5920000000000001E-3</v>
      </c>
      <c r="J196" s="158" t="s">
        <v>87</v>
      </c>
      <c r="K196" s="158">
        <v>2.075E-3</v>
      </c>
      <c r="L196" s="158">
        <v>2.7499999999999998E-3</v>
      </c>
      <c r="M196" s="158">
        <v>3.522E-3</v>
      </c>
      <c r="N196" s="139" cm="1">
        <f t="array" aca="1" ref="N196:AE196" ca="1">IF(OR(B196="",NOT($J$2)),"",GetStripDefaultProbability(A196,B196,Parameter_Date,CDSRollDate,E196:M196,SpreadCurveMaturities,D196,C196,$J$4,$J$6))</f>
        <v>0</v>
      </c>
      <c r="O196" s="165">
        <f ca="1"/>
        <v>0</v>
      </c>
      <c r="P196" s="165">
        <f ca="1"/>
        <v>7.3225716802483021E-4</v>
      </c>
      <c r="Q196" s="165">
        <f ca="1"/>
        <v>0</v>
      </c>
      <c r="R196" s="165">
        <f ca="1"/>
        <v>8.2714974315990508E-3</v>
      </c>
      <c r="S196" s="165">
        <f ca="1"/>
        <v>0</v>
      </c>
      <c r="T196" s="165">
        <f ca="1"/>
        <v>1.792476589730474E-2</v>
      </c>
      <c r="U196" s="165">
        <f ca="1"/>
        <v>3.3684030372819085E-2</v>
      </c>
      <c r="V196" s="140">
        <f ca="1"/>
        <v>6.2305453902403607E-2</v>
      </c>
      <c r="W196" s="139">
        <f ca="1"/>
        <v>0</v>
      </c>
      <c r="X196" s="165">
        <f ca="1"/>
        <v>0</v>
      </c>
      <c r="Y196" s="165">
        <f ca="1"/>
        <v>8.9878791390107793E-4</v>
      </c>
      <c r="Z196" s="165">
        <f ca="1"/>
        <v>0</v>
      </c>
      <c r="AA196" s="165">
        <f ca="1"/>
        <v>8.7672377374738986E-3</v>
      </c>
      <c r="AB196" s="165">
        <f ca="1"/>
        <v>0</v>
      </c>
      <c r="AC196" s="165">
        <f ca="1"/>
        <v>1.8794088345361226E-2</v>
      </c>
      <c r="AD196" s="165">
        <f ca="1"/>
        <v>3.5324661615436126E-2</v>
      </c>
      <c r="AE196" s="140">
        <f ca="1"/>
        <v>6.5315256795822729E-2</v>
      </c>
      <c r="AI196" s="137"/>
      <c r="AK196" s="137"/>
      <c r="AM196" s="137"/>
      <c r="AN196" s="137"/>
      <c r="AO196" s="137"/>
      <c r="AR196" s="137"/>
      <c r="AT196" s="137"/>
      <c r="AV196" s="137"/>
      <c r="AW196" s="137"/>
      <c r="AX196" s="137"/>
    </row>
    <row r="197" spans="1:50" s="79" customFormat="1" ht="10.199999999999999" x14ac:dyDescent="0.2">
      <c r="A197" s="97">
        <f t="shared" ca="1" si="4"/>
        <v>186</v>
      </c>
      <c r="B197" s="68" t="s">
        <v>274</v>
      </c>
      <c r="C197" s="98">
        <v>0.4</v>
      </c>
      <c r="D197" s="69" t="s">
        <v>67</v>
      </c>
      <c r="E197" s="138" t="s">
        <v>87</v>
      </c>
      <c r="F197" s="158" t="s">
        <v>87</v>
      </c>
      <c r="G197" s="158">
        <v>2.2030000000000001E-3</v>
      </c>
      <c r="H197" s="158" t="s">
        <v>87</v>
      </c>
      <c r="I197" s="158">
        <v>3.8249999999999998E-3</v>
      </c>
      <c r="J197" s="158" t="s">
        <v>87</v>
      </c>
      <c r="K197" s="158">
        <v>5.2589999999999998E-3</v>
      </c>
      <c r="L197" s="158">
        <v>6.0720000000000001E-3</v>
      </c>
      <c r="M197" s="158">
        <v>7.2199999999999999E-3</v>
      </c>
      <c r="N197" s="139" cm="1">
        <f t="array" aca="1" ref="N197:AE197" ca="1">IF(OR(B197="",NOT($J$2)),"",GetStripDefaultProbability(A197,B197,Parameter_Date,CDSRollDate,E197:M197,SpreadCurveMaturities,D197,C197,$J$4,$J$6))</f>
        <v>0</v>
      </c>
      <c r="O197" s="165">
        <f ca="1"/>
        <v>0</v>
      </c>
      <c r="P197" s="165">
        <f ca="1"/>
        <v>3.8810589095683579E-3</v>
      </c>
      <c r="Q197" s="165">
        <f ca="1"/>
        <v>0</v>
      </c>
      <c r="R197" s="165">
        <f ca="1"/>
        <v>1.9622687166411024E-2</v>
      </c>
      <c r="S197" s="165">
        <f ca="1"/>
        <v>0</v>
      </c>
      <c r="T197" s="165">
        <f ca="1"/>
        <v>4.4913710206918589E-2</v>
      </c>
      <c r="U197" s="165">
        <f ca="1"/>
        <v>7.2161535819114775E-2</v>
      </c>
      <c r="V197" s="140">
        <f ca="1"/>
        <v>0.12213175804570864</v>
      </c>
      <c r="W197" s="139">
        <f ca="1"/>
        <v>0</v>
      </c>
      <c r="X197" s="165">
        <f ca="1"/>
        <v>0</v>
      </c>
      <c r="Y197" s="165">
        <f ca="1"/>
        <v>4.0639129601696133E-3</v>
      </c>
      <c r="Z197" s="165">
        <f ca="1"/>
        <v>0</v>
      </c>
      <c r="AA197" s="165">
        <f ca="1"/>
        <v>2.0593868907771595E-2</v>
      </c>
      <c r="AB197" s="165">
        <f ca="1"/>
        <v>0</v>
      </c>
      <c r="AC197" s="165">
        <f ca="1"/>
        <v>4.7112115881201344E-2</v>
      </c>
      <c r="AD197" s="165">
        <f ca="1"/>
        <v>7.5652976990997378E-2</v>
      </c>
      <c r="AE197" s="140">
        <f ca="1"/>
        <v>0.12792800951678052</v>
      </c>
      <c r="AI197" s="137"/>
      <c r="AK197" s="137"/>
      <c r="AM197" s="137"/>
      <c r="AN197" s="137"/>
      <c r="AO197" s="137"/>
      <c r="AR197" s="137"/>
      <c r="AT197" s="137"/>
      <c r="AV197" s="137"/>
      <c r="AW197" s="137"/>
      <c r="AX197" s="137"/>
    </row>
    <row r="198" spans="1:50" s="79" customFormat="1" ht="10.199999999999999" x14ac:dyDescent="0.2">
      <c r="A198" s="97">
        <f t="shared" ca="1" si="4"/>
        <v>187</v>
      </c>
      <c r="B198" s="68" t="s">
        <v>275</v>
      </c>
      <c r="C198" s="98">
        <v>0.4</v>
      </c>
      <c r="D198" s="69" t="s">
        <v>67</v>
      </c>
      <c r="E198" s="138" t="s">
        <v>87</v>
      </c>
      <c r="F198" s="158" t="s">
        <v>87</v>
      </c>
      <c r="G198" s="158">
        <v>4.8999999999999998E-4</v>
      </c>
      <c r="H198" s="158" t="s">
        <v>87</v>
      </c>
      <c r="I198" s="158">
        <v>1.544E-3</v>
      </c>
      <c r="J198" s="158" t="s">
        <v>87</v>
      </c>
      <c r="K198" s="158">
        <v>2.1229999999999999E-3</v>
      </c>
      <c r="L198" s="158">
        <v>2.7989999999999998E-3</v>
      </c>
      <c r="M198" s="158">
        <v>3.6670000000000001E-3</v>
      </c>
      <c r="N198" s="139" cm="1">
        <f t="array" aca="1" ref="N198:AE198" ca="1">IF(OR(B198="",NOT($J$2)),"",GetStripDefaultProbability(A198,B198,Parameter_Date,CDSRollDate,E198:M198,SpreadCurveMaturities,D198,C198,$J$4,$J$6))</f>
        <v>0</v>
      </c>
      <c r="O198" s="165">
        <f ca="1"/>
        <v>0</v>
      </c>
      <c r="P198" s="165">
        <f ca="1"/>
        <v>8.6453599250746471E-4</v>
      </c>
      <c r="Q198" s="165">
        <f ca="1"/>
        <v>0</v>
      </c>
      <c r="R198" s="165">
        <f ca="1"/>
        <v>8.0115283711789109E-3</v>
      </c>
      <c r="S198" s="165">
        <f ca="1"/>
        <v>0</v>
      </c>
      <c r="T198" s="165">
        <f ca="1"/>
        <v>1.8374813585766425E-2</v>
      </c>
      <c r="U198" s="165">
        <f ca="1"/>
        <v>3.4299019076861281E-2</v>
      </c>
      <c r="V198" s="140">
        <f ca="1"/>
        <v>6.5041330881649206E-2</v>
      </c>
      <c r="W198" s="139">
        <f ca="1"/>
        <v>0</v>
      </c>
      <c r="X198" s="165">
        <f ca="1"/>
        <v>0</v>
      </c>
      <c r="Y198" s="165">
        <f ca="1"/>
        <v>1.0310446937398243E-3</v>
      </c>
      <c r="Z198" s="165">
        <f ca="1"/>
        <v>0</v>
      </c>
      <c r="AA198" s="165">
        <f ca="1"/>
        <v>8.5073986291193116E-3</v>
      </c>
      <c r="AB198" s="165">
        <f ca="1"/>
        <v>0</v>
      </c>
      <c r="AC198" s="165">
        <f ca="1"/>
        <v>1.9265445588683594E-2</v>
      </c>
      <c r="AD198" s="165">
        <f ca="1"/>
        <v>3.5968798243151245E-2</v>
      </c>
      <c r="AE198" s="140">
        <f ca="1"/>
        <v>6.8179760714188298E-2</v>
      </c>
      <c r="AI198" s="137"/>
      <c r="AK198" s="137"/>
      <c r="AM198" s="137"/>
      <c r="AN198" s="137"/>
      <c r="AO198" s="137"/>
      <c r="AR198" s="137"/>
      <c r="AT198" s="137"/>
      <c r="AV198" s="137"/>
      <c r="AW198" s="137"/>
      <c r="AX198" s="137"/>
    </row>
    <row r="199" spans="1:50" s="79" customFormat="1" ht="10.199999999999999" x14ac:dyDescent="0.2">
      <c r="A199" s="97">
        <f t="shared" ca="1" si="4"/>
        <v>188</v>
      </c>
      <c r="B199" s="68" t="s">
        <v>276</v>
      </c>
      <c r="C199" s="98">
        <v>0.4</v>
      </c>
      <c r="D199" s="69" t="s">
        <v>67</v>
      </c>
      <c r="E199" s="138" t="s">
        <v>87</v>
      </c>
      <c r="F199" s="158" t="s">
        <v>87</v>
      </c>
      <c r="G199" s="158">
        <v>8.1499999999999997E-4</v>
      </c>
      <c r="H199" s="158" t="s">
        <v>87</v>
      </c>
      <c r="I199" s="158">
        <v>1.572E-3</v>
      </c>
      <c r="J199" s="158" t="s">
        <v>87</v>
      </c>
      <c r="K199" s="158">
        <v>1.9780000000000002E-3</v>
      </c>
      <c r="L199" s="158">
        <v>2.5869999999999999E-3</v>
      </c>
      <c r="M199" s="158">
        <v>3.297E-3</v>
      </c>
      <c r="N199" s="139" cm="1">
        <f t="array" aca="1" ref="N199:AE199" ca="1">IF(OR(B199="",NOT($J$2)),"",GetStripDefaultProbability(A199,B199,Parameter_Date,CDSRollDate,E199:M199,SpreadCurveMaturities,D199,C199,$J$4,$J$6))</f>
        <v>0</v>
      </c>
      <c r="O199" s="165">
        <f ca="1"/>
        <v>0</v>
      </c>
      <c r="P199" s="165">
        <f ca="1"/>
        <v>1.4375434207237747E-3</v>
      </c>
      <c r="Q199" s="165">
        <f ca="1"/>
        <v>0</v>
      </c>
      <c r="R199" s="165">
        <f ca="1"/>
        <v>8.1155248511491918E-3</v>
      </c>
      <c r="S199" s="165">
        <f ca="1"/>
        <v>0</v>
      </c>
      <c r="T199" s="165">
        <f ca="1"/>
        <v>1.7007809580129818E-2</v>
      </c>
      <c r="U199" s="165">
        <f ca="1"/>
        <v>3.1585329764967418E-2</v>
      </c>
      <c r="V199" s="140">
        <f ca="1"/>
        <v>5.8240716707698703E-2</v>
      </c>
      <c r="W199" s="139">
        <f ca="1"/>
        <v>0</v>
      </c>
      <c r="X199" s="165">
        <f ca="1"/>
        <v>0</v>
      </c>
      <c r="Y199" s="165">
        <f ca="1"/>
        <v>1.6039566286889517E-3</v>
      </c>
      <c r="Z199" s="165">
        <f ca="1"/>
        <v>0</v>
      </c>
      <c r="AA199" s="165">
        <f ca="1"/>
        <v>8.6113431238294957E-3</v>
      </c>
      <c r="AB199" s="165">
        <f ca="1"/>
        <v>0</v>
      </c>
      <c r="AC199" s="165">
        <f ca="1"/>
        <v>1.7826628516853793E-2</v>
      </c>
      <c r="AD199" s="165">
        <f ca="1"/>
        <v>3.3126394378173551E-2</v>
      </c>
      <c r="AE199" s="140">
        <f ca="1"/>
        <v>6.1060378834294493E-2</v>
      </c>
      <c r="AI199" s="137"/>
      <c r="AK199" s="137"/>
      <c r="AM199" s="137"/>
      <c r="AN199" s="137"/>
      <c r="AO199" s="137"/>
      <c r="AR199" s="137"/>
      <c r="AT199" s="137"/>
      <c r="AV199" s="137"/>
      <c r="AW199" s="137"/>
      <c r="AX199" s="137"/>
    </row>
    <row r="200" spans="1:50" s="79" customFormat="1" ht="10.199999999999999" x14ac:dyDescent="0.2">
      <c r="A200" s="97">
        <f t="shared" ca="1" si="4"/>
        <v>189</v>
      </c>
      <c r="B200" s="68" t="s">
        <v>277</v>
      </c>
      <c r="C200" s="98">
        <v>0.4</v>
      </c>
      <c r="D200" s="69" t="s">
        <v>67</v>
      </c>
      <c r="E200" s="138" t="s">
        <v>87</v>
      </c>
      <c r="F200" s="158" t="s">
        <v>87</v>
      </c>
      <c r="G200" s="158">
        <v>4.9200000000000003E-4</v>
      </c>
      <c r="H200" s="158" t="s">
        <v>87</v>
      </c>
      <c r="I200" s="158">
        <v>1.6999999999999999E-3</v>
      </c>
      <c r="J200" s="158" t="s">
        <v>87</v>
      </c>
      <c r="K200" s="158">
        <v>2.4610000000000001E-3</v>
      </c>
      <c r="L200" s="158">
        <v>3.042E-3</v>
      </c>
      <c r="M200" s="158">
        <v>3.7580000000000001E-3</v>
      </c>
      <c r="N200" s="139" cm="1">
        <f t="array" aca="1" ref="N200:AE200" ca="1">IF(OR(B200="",NOT($J$2)),"",GetStripDefaultProbability(A200,B200,Parameter_Date,CDSRollDate,E200:M200,SpreadCurveMaturities,D200,C200,$J$4,$J$6))</f>
        <v>0</v>
      </c>
      <c r="O200" s="165">
        <f ca="1"/>
        <v>0</v>
      </c>
      <c r="P200" s="165">
        <f ca="1"/>
        <v>8.6806318984100628E-4</v>
      </c>
      <c r="Q200" s="165">
        <f ca="1"/>
        <v>0</v>
      </c>
      <c r="R200" s="165">
        <f ca="1"/>
        <v>8.8244937084784869E-3</v>
      </c>
      <c r="S200" s="165">
        <f ca="1"/>
        <v>0</v>
      </c>
      <c r="T200" s="165">
        <f ca="1"/>
        <v>2.1336996461436497E-2</v>
      </c>
      <c r="U200" s="165">
        <f ca="1"/>
        <v>3.7067518386775133E-2</v>
      </c>
      <c r="V200" s="140">
        <f ca="1"/>
        <v>6.5889014035275806E-2</v>
      </c>
      <c r="W200" s="139">
        <f ca="1"/>
        <v>0</v>
      </c>
      <c r="X200" s="165">
        <f ca="1"/>
        <v>0</v>
      </c>
      <c r="Y200" s="165">
        <f ca="1"/>
        <v>1.0345713032536841E-3</v>
      </c>
      <c r="Z200" s="165">
        <f ca="1"/>
        <v>0</v>
      </c>
      <c r="AA200" s="165">
        <f ca="1"/>
        <v>9.319957585372074E-3</v>
      </c>
      <c r="AB200" s="165">
        <f ca="1"/>
        <v>0</v>
      </c>
      <c r="AC200" s="165">
        <f ca="1"/>
        <v>2.2377347624894517E-2</v>
      </c>
      <c r="AD200" s="165">
        <f ca="1"/>
        <v>3.8875512116619659E-2</v>
      </c>
      <c r="AE200" s="140">
        <f ca="1"/>
        <v>6.9069426643834864E-2</v>
      </c>
      <c r="AI200" s="137"/>
      <c r="AK200" s="137"/>
      <c r="AM200" s="137"/>
      <c r="AN200" s="137"/>
      <c r="AO200" s="137"/>
      <c r="AR200" s="137"/>
      <c r="AT200" s="137"/>
      <c r="AV200" s="137"/>
      <c r="AW200" s="137"/>
      <c r="AX200" s="137"/>
    </row>
    <row r="201" spans="1:50" s="79" customFormat="1" ht="10.199999999999999" x14ac:dyDescent="0.2">
      <c r="A201" s="97">
        <f t="shared" ca="1" si="4"/>
        <v>190</v>
      </c>
      <c r="B201" s="68" t="s">
        <v>278</v>
      </c>
      <c r="C201" s="98">
        <v>0.4</v>
      </c>
      <c r="D201" s="69" t="s">
        <v>67</v>
      </c>
      <c r="E201" s="138" t="s">
        <v>87</v>
      </c>
      <c r="F201" s="158" t="s">
        <v>87</v>
      </c>
      <c r="G201" s="158">
        <v>2.6540000000000001E-3</v>
      </c>
      <c r="H201" s="158" t="s">
        <v>87</v>
      </c>
      <c r="I201" s="158">
        <v>6.8830000000000002E-3</v>
      </c>
      <c r="J201" s="158" t="s">
        <v>87</v>
      </c>
      <c r="K201" s="158">
        <v>1.0614999999999999E-2</v>
      </c>
      <c r="L201" s="158">
        <v>1.2263E-2</v>
      </c>
      <c r="M201" s="158">
        <v>1.5025999999999999E-2</v>
      </c>
      <c r="N201" s="139" cm="1">
        <f t="array" aca="1" ref="N201:AE201" ca="1">IF(OR(B201="",NOT($J$2)),"",GetStripDefaultProbability(A201,B201,Parameter_Date,CDSRollDate,E201:M201,SpreadCurveMaturities,D201,C201,$J$4,$J$6))</f>
        <v>0</v>
      </c>
      <c r="O201" s="165">
        <f ca="1"/>
        <v>0</v>
      </c>
      <c r="P201" s="165">
        <f ca="1"/>
        <v>4.6737486639177872E-3</v>
      </c>
      <c r="Q201" s="165">
        <f ca="1"/>
        <v>0</v>
      </c>
      <c r="R201" s="165">
        <f ca="1"/>
        <v>3.5278177378926245E-2</v>
      </c>
      <c r="S201" s="165">
        <f ca="1"/>
        <v>0</v>
      </c>
      <c r="T201" s="165">
        <f ca="1"/>
        <v>8.988452195241925E-2</v>
      </c>
      <c r="U201" s="165">
        <f ca="1"/>
        <v>0.14235124594001747</v>
      </c>
      <c r="V201" s="140">
        <f ca="1"/>
        <v>0.24353100825431173</v>
      </c>
      <c r="W201" s="139">
        <f ca="1"/>
        <v>0</v>
      </c>
      <c r="X201" s="165">
        <f ca="1"/>
        <v>0</v>
      </c>
      <c r="Y201" s="165">
        <f ca="1"/>
        <v>4.8938573119232665E-3</v>
      </c>
      <c r="Z201" s="165">
        <f ca="1"/>
        <v>0</v>
      </c>
      <c r="AA201" s="165">
        <f ca="1"/>
        <v>3.7008275705394555E-2</v>
      </c>
      <c r="AB201" s="165">
        <f ca="1"/>
        <v>0</v>
      </c>
      <c r="AC201" s="165">
        <f ca="1"/>
        <v>9.422507286649473E-2</v>
      </c>
      <c r="AD201" s="165">
        <f ca="1"/>
        <v>0.14904849963481348</v>
      </c>
      <c r="AE201" s="140">
        <f ca="1"/>
        <v>0.25446279609682865</v>
      </c>
      <c r="AI201" s="137"/>
      <c r="AK201" s="137"/>
      <c r="AM201" s="137"/>
      <c r="AN201" s="137"/>
      <c r="AO201" s="137"/>
      <c r="AR201" s="137"/>
      <c r="AT201" s="137"/>
      <c r="AV201" s="137"/>
      <c r="AW201" s="137"/>
      <c r="AX201" s="137"/>
    </row>
    <row r="202" spans="1:50" s="79" customFormat="1" ht="10.199999999999999" x14ac:dyDescent="0.2">
      <c r="A202" s="97">
        <f t="shared" ca="1" si="4"/>
        <v>191</v>
      </c>
      <c r="B202" s="68" t="s">
        <v>279</v>
      </c>
      <c r="C202" s="98">
        <v>0.4</v>
      </c>
      <c r="D202" s="69" t="s">
        <v>67</v>
      </c>
      <c r="E202" s="138" t="s">
        <v>87</v>
      </c>
      <c r="F202" s="158" t="s">
        <v>87</v>
      </c>
      <c r="G202" s="158">
        <v>1.689E-3</v>
      </c>
      <c r="H202" s="158" t="s">
        <v>87</v>
      </c>
      <c r="I202" s="158">
        <v>3.1359999999999999E-3</v>
      </c>
      <c r="J202" s="158" t="s">
        <v>87</v>
      </c>
      <c r="K202" s="158">
        <v>4.1009999999999996E-3</v>
      </c>
      <c r="L202" s="158">
        <v>4.4869999999999997E-3</v>
      </c>
      <c r="M202" s="158">
        <v>4.777E-3</v>
      </c>
      <c r="N202" s="139" cm="1">
        <f t="array" aca="1" ref="N202:AE202" ca="1">IF(OR(B202="",NOT($J$2)),"",GetStripDefaultProbability(A202,B202,Parameter_Date,CDSRollDate,E202:M202,SpreadCurveMaturities,D202,C202,$J$4,$J$6))</f>
        <v>0</v>
      </c>
      <c r="O202" s="165">
        <f ca="1"/>
        <v>0</v>
      </c>
      <c r="P202" s="165">
        <f ca="1"/>
        <v>2.9768757001609192E-3</v>
      </c>
      <c r="Q202" s="165">
        <f ca="1"/>
        <v>0</v>
      </c>
      <c r="R202" s="165">
        <f ca="1"/>
        <v>1.612787782860492E-2</v>
      </c>
      <c r="S202" s="165">
        <f ca="1"/>
        <v>0</v>
      </c>
      <c r="T202" s="165">
        <f ca="1"/>
        <v>3.5074344684950742E-2</v>
      </c>
      <c r="U202" s="165">
        <f ca="1"/>
        <v>5.3306932090712578E-2</v>
      </c>
      <c r="V202" s="140">
        <f ca="1"/>
        <v>8.0138390717819141E-2</v>
      </c>
      <c r="W202" s="139">
        <f ca="1"/>
        <v>0</v>
      </c>
      <c r="X202" s="165">
        <f ca="1"/>
        <v>0</v>
      </c>
      <c r="Y202" s="165">
        <f ca="1"/>
        <v>3.1430323741244992E-3</v>
      </c>
      <c r="Z202" s="165">
        <f ca="1"/>
        <v>0</v>
      </c>
      <c r="AA202" s="165">
        <f ca="1"/>
        <v>1.6925700161155799E-2</v>
      </c>
      <c r="AB202" s="165">
        <f ca="1"/>
        <v>0</v>
      </c>
      <c r="AC202" s="165">
        <f ca="1"/>
        <v>3.6797254229182785E-2</v>
      </c>
      <c r="AD202" s="165">
        <f ca="1"/>
        <v>5.5904905118194126E-2</v>
      </c>
      <c r="AE202" s="140">
        <f ca="1"/>
        <v>8.3983109672256084E-2</v>
      </c>
      <c r="AI202" s="137"/>
      <c r="AK202" s="137"/>
      <c r="AM202" s="137"/>
      <c r="AN202" s="137"/>
      <c r="AO202" s="137"/>
      <c r="AR202" s="137"/>
      <c r="AT202" s="137"/>
      <c r="AV202" s="137"/>
      <c r="AW202" s="137"/>
      <c r="AX202" s="137"/>
    </row>
    <row r="203" spans="1:50" s="79" customFormat="1" ht="10.199999999999999" x14ac:dyDescent="0.2">
      <c r="A203" s="97">
        <f t="shared" ref="A203:A266" ca="1" si="5">IF(B203="","",A202+1)</f>
        <v>192</v>
      </c>
      <c r="B203" s="68" t="s">
        <v>280</v>
      </c>
      <c r="C203" s="98">
        <v>0.4</v>
      </c>
      <c r="D203" s="69" t="s">
        <v>67</v>
      </c>
      <c r="E203" s="138" t="s">
        <v>87</v>
      </c>
      <c r="F203" s="158" t="s">
        <v>87</v>
      </c>
      <c r="G203" s="158">
        <v>1.4519999999999999E-3</v>
      </c>
      <c r="H203" s="158" t="s">
        <v>87</v>
      </c>
      <c r="I203" s="158">
        <v>1.9059999999999999E-3</v>
      </c>
      <c r="J203" s="158" t="s">
        <v>87</v>
      </c>
      <c r="K203" s="158">
        <v>3.8119999999999999E-3</v>
      </c>
      <c r="L203" s="158">
        <v>5.2639999999999996E-3</v>
      </c>
      <c r="M203" s="158">
        <v>6.489E-3</v>
      </c>
      <c r="N203" s="139" cm="1">
        <f t="array" aca="1" ref="N203:AE203" ca="1">IF(OR(B203="",NOT($J$2)),"",GetStripDefaultProbability(A203,B203,Parameter_Date,CDSRollDate,E203:M203,SpreadCurveMaturities,D203,C203,$J$4,$J$6))</f>
        <v>0</v>
      </c>
      <c r="O203" s="165">
        <f ca="1"/>
        <v>0</v>
      </c>
      <c r="P203" s="165">
        <f ca="1"/>
        <v>2.5596922557746815E-3</v>
      </c>
      <c r="Q203" s="165">
        <f ca="1"/>
        <v>0</v>
      </c>
      <c r="R203" s="165">
        <f ca="1"/>
        <v>9.7723126320067299E-3</v>
      </c>
      <c r="S203" s="165">
        <f ca="1"/>
        <v>0</v>
      </c>
      <c r="T203" s="165">
        <f ca="1"/>
        <v>3.3236540812710214E-2</v>
      </c>
      <c r="U203" s="165">
        <f ca="1"/>
        <v>6.4540124749125738E-2</v>
      </c>
      <c r="V203" s="140">
        <f ca="1"/>
        <v>0.11274686545950086</v>
      </c>
      <c r="W203" s="139">
        <f ca="1"/>
        <v>0</v>
      </c>
      <c r="X203" s="165">
        <f ca="1"/>
        <v>0</v>
      </c>
      <c r="Y203" s="165">
        <f ca="1"/>
        <v>2.7259184544774495E-3</v>
      </c>
      <c r="Z203" s="165">
        <f ca="1"/>
        <v>0</v>
      </c>
      <c r="AA203" s="165">
        <f ca="1"/>
        <v>1.0267302717879678E-2</v>
      </c>
      <c r="AB203" s="165">
        <f ca="1"/>
        <v>0</v>
      </c>
      <c r="AC203" s="165">
        <f ca="1"/>
        <v>3.486932584034208E-2</v>
      </c>
      <c r="AD203" s="165">
        <f ca="1"/>
        <v>6.7680291067001241E-2</v>
      </c>
      <c r="AE203" s="140">
        <f ca="1"/>
        <v>0.11814228816685812</v>
      </c>
      <c r="AI203" s="137"/>
      <c r="AK203" s="137"/>
      <c r="AM203" s="137"/>
      <c r="AN203" s="137"/>
      <c r="AO203" s="137"/>
      <c r="AR203" s="137"/>
      <c r="AT203" s="137"/>
      <c r="AV203" s="137"/>
      <c r="AW203" s="137"/>
      <c r="AX203" s="137"/>
    </row>
    <row r="204" spans="1:50" s="79" customFormat="1" ht="10.199999999999999" x14ac:dyDescent="0.2">
      <c r="A204" s="97">
        <f t="shared" ca="1" si="5"/>
        <v>193</v>
      </c>
      <c r="B204" s="68" t="s">
        <v>281</v>
      </c>
      <c r="C204" s="98">
        <v>0.4</v>
      </c>
      <c r="D204" s="69" t="s">
        <v>67</v>
      </c>
      <c r="E204" s="138" t="s">
        <v>87</v>
      </c>
      <c r="F204" s="158" t="s">
        <v>87</v>
      </c>
      <c r="G204" s="158">
        <v>4.7377000000000002E-2</v>
      </c>
      <c r="H204" s="158" t="s">
        <v>87</v>
      </c>
      <c r="I204" s="158">
        <v>4.0816999999999999E-2</v>
      </c>
      <c r="J204" s="158" t="s">
        <v>87</v>
      </c>
      <c r="K204" s="158">
        <v>3.4257999999999997E-2</v>
      </c>
      <c r="L204" s="158">
        <v>3.0977999999999999E-2</v>
      </c>
      <c r="M204" s="158">
        <v>2.7698E-2</v>
      </c>
      <c r="N204" s="139" cm="1">
        <f t="array" aca="1" ref="N204:AE204" ca="1">IF(OR(B204="",NOT($J$2)),"",GetStripDefaultProbability(A204,B204,Parameter_Date,CDSRollDate,E204:M204,SpreadCurveMaturities,D204,C204,$J$4,$J$6))</f>
        <v>0</v>
      </c>
      <c r="O204" s="165">
        <f ca="1"/>
        <v>0</v>
      </c>
      <c r="P204" s="165">
        <f ca="1"/>
        <v>8.0222271140291679E-2</v>
      </c>
      <c r="Q204" s="165">
        <f ca="1"/>
        <v>0</v>
      </c>
      <c r="R204" s="165">
        <f ca="1"/>
        <v>0.18687769022893219</v>
      </c>
      <c r="S204" s="165">
        <f ca="1"/>
        <v>0</v>
      </c>
      <c r="T204" s="165">
        <f ca="1"/>
        <v>0.24319475970027626</v>
      </c>
      <c r="U204" s="165">
        <f ca="1"/>
        <v>0.2909616989466266</v>
      </c>
      <c r="V204" s="140">
        <f ca="1"/>
        <v>0.34456611173039142</v>
      </c>
      <c r="W204" s="139">
        <f ca="1"/>
        <v>0</v>
      </c>
      <c r="X204" s="165">
        <f ca="1"/>
        <v>0</v>
      </c>
      <c r="Y204" s="165">
        <f ca="1"/>
        <v>8.4059865212735674E-2</v>
      </c>
      <c r="Z204" s="165">
        <f ca="1"/>
        <v>0</v>
      </c>
      <c r="AA204" s="165">
        <f ca="1"/>
        <v>0.19518599854881158</v>
      </c>
      <c r="AB204" s="165">
        <f ca="1"/>
        <v>0</v>
      </c>
      <c r="AC204" s="165">
        <f ca="1"/>
        <v>0.25338330473224269</v>
      </c>
      <c r="AD204" s="165">
        <f ca="1"/>
        <v>0.30256885021914015</v>
      </c>
      <c r="AE204" s="140">
        <f ca="1"/>
        <v>0.35745347117684068</v>
      </c>
      <c r="AI204" s="137"/>
      <c r="AK204" s="137"/>
      <c r="AM204" s="137"/>
      <c r="AN204" s="137"/>
      <c r="AO204" s="137"/>
      <c r="AR204" s="137"/>
      <c r="AT204" s="137"/>
      <c r="AV204" s="137"/>
      <c r="AW204" s="137"/>
      <c r="AX204" s="137"/>
    </row>
    <row r="205" spans="1:50" s="79" customFormat="1" ht="10.199999999999999" x14ac:dyDescent="0.2">
      <c r="A205" s="97">
        <f t="shared" ca="1" si="5"/>
        <v>194</v>
      </c>
      <c r="B205" s="68" t="s">
        <v>282</v>
      </c>
      <c r="C205" s="98">
        <v>0.4</v>
      </c>
      <c r="D205" s="69" t="s">
        <v>67</v>
      </c>
      <c r="E205" s="138" t="s">
        <v>87</v>
      </c>
      <c r="F205" s="158" t="s">
        <v>87</v>
      </c>
      <c r="G205" s="158">
        <v>2.8180000000000002E-3</v>
      </c>
      <c r="H205" s="158" t="s">
        <v>87</v>
      </c>
      <c r="I205" s="158">
        <v>5.391E-3</v>
      </c>
      <c r="J205" s="158" t="s">
        <v>87</v>
      </c>
      <c r="K205" s="158">
        <v>8.8500000000000002E-3</v>
      </c>
      <c r="L205" s="158">
        <v>1.0579E-2</v>
      </c>
      <c r="M205" s="158">
        <v>1.2817E-2</v>
      </c>
      <c r="N205" s="139" cm="1">
        <f t="array" aca="1" ref="N205:AE205" ca="1">IF(OR(B205="",NOT($J$2)),"",GetStripDefaultProbability(A205,B205,Parameter_Date,CDSRollDate,E205:M205,SpreadCurveMaturities,D205,C205,$J$4,$J$6))</f>
        <v>0</v>
      </c>
      <c r="O205" s="165">
        <f ca="1"/>
        <v>0</v>
      </c>
      <c r="P205" s="165">
        <f ca="1"/>
        <v>4.9618444950211282E-3</v>
      </c>
      <c r="Q205" s="165">
        <f ca="1"/>
        <v>0</v>
      </c>
      <c r="R205" s="165">
        <f ca="1"/>
        <v>2.7605124226549482E-2</v>
      </c>
      <c r="S205" s="165">
        <f ca="1"/>
        <v>0</v>
      </c>
      <c r="T205" s="165">
        <f ca="1"/>
        <v>7.5485878669819373E-2</v>
      </c>
      <c r="U205" s="165">
        <f ca="1"/>
        <v>0.1244231957012506</v>
      </c>
      <c r="V205" s="140">
        <f ca="1"/>
        <v>0.21094232320313644</v>
      </c>
      <c r="W205" s="139">
        <f ca="1"/>
        <v>0</v>
      </c>
      <c r="X205" s="165">
        <f ca="1"/>
        <v>0</v>
      </c>
      <c r="Y205" s="165">
        <f ca="1"/>
        <v>5.1954851874949082E-3</v>
      </c>
      <c r="Z205" s="165">
        <f ca="1"/>
        <v>0</v>
      </c>
      <c r="AA205" s="165">
        <f ca="1"/>
        <v>2.8965026984622222E-2</v>
      </c>
      <c r="AB205" s="165">
        <f ca="1"/>
        <v>0</v>
      </c>
      <c r="AC205" s="165">
        <f ca="1"/>
        <v>7.9154119606158591E-2</v>
      </c>
      <c r="AD205" s="165">
        <f ca="1"/>
        <v>0.1303353403854135</v>
      </c>
      <c r="AE205" s="140">
        <f ca="1"/>
        <v>0.22056918989612595</v>
      </c>
      <c r="AI205" s="137"/>
      <c r="AK205" s="137"/>
      <c r="AM205" s="137"/>
      <c r="AN205" s="137"/>
      <c r="AO205" s="137"/>
      <c r="AR205" s="137"/>
      <c r="AT205" s="137"/>
      <c r="AV205" s="137"/>
      <c r="AW205" s="137"/>
      <c r="AX205" s="137"/>
    </row>
    <row r="206" spans="1:50" s="79" customFormat="1" ht="10.199999999999999" x14ac:dyDescent="0.2">
      <c r="A206" s="97">
        <f t="shared" ca="1" si="5"/>
        <v>195</v>
      </c>
      <c r="B206" s="68" t="s">
        <v>283</v>
      </c>
      <c r="C206" s="98">
        <v>0.4</v>
      </c>
      <c r="D206" s="69" t="s">
        <v>67</v>
      </c>
      <c r="E206" s="138" t="s">
        <v>87</v>
      </c>
      <c r="F206" s="158" t="s">
        <v>87</v>
      </c>
      <c r="G206" s="158">
        <v>6.6639999999999998E-3</v>
      </c>
      <c r="H206" s="158" t="s">
        <v>87</v>
      </c>
      <c r="I206" s="158">
        <v>1.1985000000000001E-2</v>
      </c>
      <c r="J206" s="158" t="s">
        <v>87</v>
      </c>
      <c r="K206" s="158">
        <v>1.7659999999999999E-2</v>
      </c>
      <c r="L206" s="158">
        <v>1.9762999999999999E-2</v>
      </c>
      <c r="M206" s="158">
        <v>2.2307E-2</v>
      </c>
      <c r="N206" s="139" cm="1">
        <f t="array" aca="1" ref="N206:AE206" ca="1">IF(OR(B206="",NOT($J$2)),"",GetStripDefaultProbability(A206,B206,Parameter_Date,CDSRollDate,E206:M206,SpreadCurveMaturities,D206,C206,$J$4,$J$6))</f>
        <v>0</v>
      </c>
      <c r="O206" s="165">
        <f ca="1"/>
        <v>0</v>
      </c>
      <c r="P206" s="165">
        <f ca="1"/>
        <v>1.1694435948380155E-2</v>
      </c>
      <c r="Q206" s="165">
        <f ca="1"/>
        <v>0</v>
      </c>
      <c r="R206" s="165">
        <f ca="1"/>
        <v>6.0433885006233035E-2</v>
      </c>
      <c r="S206" s="165">
        <f ca="1"/>
        <v>0</v>
      </c>
      <c r="T206" s="165">
        <f ca="1"/>
        <v>0.1454600613977568</v>
      </c>
      <c r="U206" s="165">
        <f ca="1"/>
        <v>0.2197094651371202</v>
      </c>
      <c r="V206" s="140">
        <f ca="1"/>
        <v>0.33636047602740871</v>
      </c>
      <c r="W206" s="139">
        <f ca="1"/>
        <v>0</v>
      </c>
      <c r="X206" s="165">
        <f ca="1"/>
        <v>0</v>
      </c>
      <c r="Y206" s="165">
        <f ca="1"/>
        <v>1.2274857433310471E-2</v>
      </c>
      <c r="Z206" s="165">
        <f ca="1"/>
        <v>0</v>
      </c>
      <c r="AA206" s="165">
        <f ca="1"/>
        <v>6.3373570309831817E-2</v>
      </c>
      <c r="AB206" s="165">
        <f ca="1"/>
        <v>0</v>
      </c>
      <c r="AC206" s="165">
        <f ca="1"/>
        <v>0.15229880355327718</v>
      </c>
      <c r="AD206" s="165">
        <f ca="1"/>
        <v>0.22961587150623608</v>
      </c>
      <c r="AE206" s="140">
        <f ca="1"/>
        <v>0.35049553557257918</v>
      </c>
      <c r="AI206" s="137"/>
      <c r="AK206" s="137"/>
      <c r="AM206" s="137"/>
      <c r="AN206" s="137"/>
      <c r="AO206" s="137"/>
      <c r="AR206" s="137"/>
      <c r="AT206" s="137"/>
      <c r="AV206" s="137"/>
      <c r="AW206" s="137"/>
      <c r="AX206" s="137"/>
    </row>
    <row r="207" spans="1:50" s="79" customFormat="1" ht="10.199999999999999" x14ac:dyDescent="0.2">
      <c r="A207" s="97">
        <f t="shared" ca="1" si="5"/>
        <v>196</v>
      </c>
      <c r="B207" s="68" t="s">
        <v>284</v>
      </c>
      <c r="C207" s="98">
        <v>0.4</v>
      </c>
      <c r="D207" s="69" t="s">
        <v>67</v>
      </c>
      <c r="E207" s="138" t="s">
        <v>87</v>
      </c>
      <c r="F207" s="158" t="s">
        <v>87</v>
      </c>
      <c r="G207" s="158">
        <v>4.7100000000000001E-4</v>
      </c>
      <c r="H207" s="158" t="s">
        <v>87</v>
      </c>
      <c r="I207" s="158">
        <v>1.882E-3</v>
      </c>
      <c r="J207" s="158" t="s">
        <v>87</v>
      </c>
      <c r="K207" s="158">
        <v>2.5569999999999998E-3</v>
      </c>
      <c r="L207" s="158">
        <v>3.4259999999999998E-3</v>
      </c>
      <c r="M207" s="158">
        <v>4.3909999999999999E-3</v>
      </c>
      <c r="N207" s="139" cm="1">
        <f t="array" aca="1" ref="N207:AE207" ca="1">IF(OR(B207="",NOT($J$2)),"",GetStripDefaultProbability(A207,B207,Parameter_Date,CDSRollDate,E207:M207,SpreadCurveMaturities,D207,C207,$J$4,$J$6))</f>
        <v>0</v>
      </c>
      <c r="O207" s="165">
        <f ca="1"/>
        <v>0</v>
      </c>
      <c r="P207" s="165">
        <f ca="1"/>
        <v>8.3102700100812221E-4</v>
      </c>
      <c r="Q207" s="165">
        <f ca="1"/>
        <v>0</v>
      </c>
      <c r="R207" s="165">
        <f ca="1"/>
        <v>9.7754692456347714E-3</v>
      </c>
      <c r="S207" s="165">
        <f ca="1"/>
        <v>0</v>
      </c>
      <c r="T207" s="165">
        <f ca="1"/>
        <v>2.2103134858484252E-2</v>
      </c>
      <c r="U207" s="165">
        <f ca="1"/>
        <v>4.1934531975938771E-2</v>
      </c>
      <c r="V207" s="140">
        <f ca="1"/>
        <v>7.7361537574058281E-2</v>
      </c>
      <c r="W207" s="139">
        <f ca="1"/>
        <v>0</v>
      </c>
      <c r="X207" s="165">
        <f ca="1"/>
        <v>0</v>
      </c>
      <c r="Y207" s="165">
        <f ca="1"/>
        <v>9.9754128658857688E-4</v>
      </c>
      <c r="Z207" s="165">
        <f ca="1"/>
        <v>0</v>
      </c>
      <c r="AA207" s="165">
        <f ca="1"/>
        <v>1.0270457753591034E-2</v>
      </c>
      <c r="AB207" s="165">
        <f ca="1"/>
        <v>0</v>
      </c>
      <c r="AC207" s="165">
        <f ca="1"/>
        <v>2.318584213042485E-2</v>
      </c>
      <c r="AD207" s="165">
        <f ca="1"/>
        <v>4.3983252520459537E-2</v>
      </c>
      <c r="AE207" s="140">
        <f ca="1"/>
        <v>8.1086040550590321E-2</v>
      </c>
      <c r="AI207" s="137"/>
      <c r="AK207" s="137"/>
      <c r="AM207" s="137"/>
      <c r="AN207" s="137"/>
      <c r="AO207" s="137"/>
      <c r="AR207" s="137"/>
      <c r="AT207" s="137"/>
      <c r="AV207" s="137"/>
      <c r="AW207" s="137"/>
      <c r="AX207" s="137"/>
    </row>
    <row r="208" spans="1:50" s="79" customFormat="1" ht="10.199999999999999" x14ac:dyDescent="0.2">
      <c r="A208" s="97">
        <f t="shared" ca="1" si="5"/>
        <v>197</v>
      </c>
      <c r="B208" s="68" t="s">
        <v>285</v>
      </c>
      <c r="C208" s="98">
        <v>0.4</v>
      </c>
      <c r="D208" s="69" t="s">
        <v>67</v>
      </c>
      <c r="E208" s="138" t="s">
        <v>87</v>
      </c>
      <c r="F208" s="158" t="s">
        <v>87</v>
      </c>
      <c r="G208" s="158">
        <v>1.122E-3</v>
      </c>
      <c r="H208" s="158" t="s">
        <v>87</v>
      </c>
      <c r="I208" s="158">
        <v>1.936E-3</v>
      </c>
      <c r="J208" s="158" t="s">
        <v>87</v>
      </c>
      <c r="K208" s="158">
        <v>2.9919999999999999E-3</v>
      </c>
      <c r="L208" s="158">
        <v>3.9589999999999998E-3</v>
      </c>
      <c r="M208" s="158">
        <v>5.1029999999999999E-3</v>
      </c>
      <c r="N208" s="139" cm="1">
        <f t="array" aca="1" ref="N208:AE208" ca="1">IF(OR(B208="",NOT($J$2)),"",GetStripDefaultProbability(A208,B208,Parameter_Date,CDSRollDate,E208:M208,SpreadCurveMaturities,D208,C208,$J$4,$J$6))</f>
        <v>0</v>
      </c>
      <c r="O208" s="165">
        <f ca="1"/>
        <v>0</v>
      </c>
      <c r="P208" s="165">
        <f ca="1"/>
        <v>1.9785155293668977E-3</v>
      </c>
      <c r="Q208" s="165">
        <f ca="1"/>
        <v>0</v>
      </c>
      <c r="R208" s="165">
        <f ca="1"/>
        <v>9.9715537677939059E-3</v>
      </c>
      <c r="S208" s="165">
        <f ca="1"/>
        <v>0</v>
      </c>
      <c r="T208" s="165">
        <f ca="1"/>
        <v>2.5901027196399973E-2</v>
      </c>
      <c r="U208" s="165">
        <f ca="1"/>
        <v>4.8365710524924999E-2</v>
      </c>
      <c r="V208" s="140">
        <f ca="1"/>
        <v>8.9574559092729156E-2</v>
      </c>
      <c r="W208" s="139">
        <f ca="1"/>
        <v>0</v>
      </c>
      <c r="X208" s="165">
        <f ca="1"/>
        <v>0</v>
      </c>
      <c r="Y208" s="165">
        <f ca="1"/>
        <v>2.1448385828206629E-3</v>
      </c>
      <c r="Z208" s="165">
        <f ca="1"/>
        <v>0</v>
      </c>
      <c r="AA208" s="165">
        <f ca="1"/>
        <v>1.0466444257996588E-2</v>
      </c>
      <c r="AB208" s="165">
        <f ca="1"/>
        <v>0</v>
      </c>
      <c r="AC208" s="165">
        <f ca="1"/>
        <v>2.7175102133580986E-2</v>
      </c>
      <c r="AD208" s="165">
        <f ca="1"/>
        <v>5.0729984522494109E-2</v>
      </c>
      <c r="AE208" s="140">
        <f ca="1"/>
        <v>9.3899291560094911E-2</v>
      </c>
      <c r="AI208" s="137"/>
      <c r="AK208" s="137"/>
      <c r="AM208" s="137"/>
      <c r="AN208" s="137"/>
      <c r="AO208" s="137"/>
      <c r="AR208" s="137"/>
      <c r="AT208" s="137"/>
      <c r="AV208" s="137"/>
      <c r="AW208" s="137"/>
      <c r="AX208" s="137"/>
    </row>
    <row r="209" spans="1:50" s="79" customFormat="1" ht="10.199999999999999" x14ac:dyDescent="0.2">
      <c r="A209" s="97">
        <f t="shared" ca="1" si="5"/>
        <v>198</v>
      </c>
      <c r="B209" s="68" t="s">
        <v>286</v>
      </c>
      <c r="C209" s="98">
        <v>0.4</v>
      </c>
      <c r="D209" s="69" t="s">
        <v>67</v>
      </c>
      <c r="E209" s="138" t="s">
        <v>87</v>
      </c>
      <c r="F209" s="158" t="s">
        <v>87</v>
      </c>
      <c r="G209" s="158">
        <v>3.9202000000000001E-2</v>
      </c>
      <c r="H209" s="158" t="s">
        <v>87</v>
      </c>
      <c r="I209" s="158">
        <v>3.9371999999999997E-2</v>
      </c>
      <c r="J209" s="158" t="s">
        <v>87</v>
      </c>
      <c r="K209" s="158">
        <v>3.4451000000000002E-2</v>
      </c>
      <c r="L209" s="158">
        <v>3.1989999999999998E-2</v>
      </c>
      <c r="M209" s="158">
        <v>3.0020999999999999E-2</v>
      </c>
      <c r="N209" s="139" cm="1">
        <f t="array" aca="1" ref="N209:AE209" ca="1">IF(OR(B209="",NOT($J$2)),"",GetStripDefaultProbability(A209,B209,Parameter_Date,CDSRollDate,E209:M209,SpreadCurveMaturities,D209,C209,$J$4,$J$6))</f>
        <v>0</v>
      </c>
      <c r="O209" s="165">
        <f ca="1"/>
        <v>0</v>
      </c>
      <c r="P209" s="165">
        <f ca="1"/>
        <v>6.6854582420428299E-2</v>
      </c>
      <c r="Q209" s="165">
        <f ca="1"/>
        <v>0</v>
      </c>
      <c r="R209" s="165">
        <f ca="1"/>
        <v>0.18263382853536336</v>
      </c>
      <c r="S209" s="165">
        <f ca="1"/>
        <v>0</v>
      </c>
      <c r="T209" s="165">
        <f ca="1"/>
        <v>0.24769391249090256</v>
      </c>
      <c r="U209" s="165">
        <f ca="1"/>
        <v>0.30396699975707486</v>
      </c>
      <c r="V209" s="140">
        <f ca="1"/>
        <v>0.37854440408605117</v>
      </c>
      <c r="W209" s="139">
        <f ca="1"/>
        <v>0</v>
      </c>
      <c r="X209" s="165">
        <f ca="1"/>
        <v>0</v>
      </c>
      <c r="Y209" s="165">
        <f ca="1"/>
        <v>7.0077333399916508E-2</v>
      </c>
      <c r="Z209" s="165">
        <f ca="1"/>
        <v>0</v>
      </c>
      <c r="AA209" s="165">
        <f ca="1"/>
        <v>0.19083566985145461</v>
      </c>
      <c r="AB209" s="165">
        <f ca="1"/>
        <v>0</v>
      </c>
      <c r="AC209" s="165">
        <f ca="1"/>
        <v>0.25814035592592255</v>
      </c>
      <c r="AD209" s="165">
        <f ca="1"/>
        <v>0.31611280456369484</v>
      </c>
      <c r="AE209" s="140">
        <f ca="1"/>
        <v>0.39257158129760283</v>
      </c>
      <c r="AI209" s="137"/>
      <c r="AK209" s="137"/>
      <c r="AM209" s="137"/>
      <c r="AN209" s="137"/>
      <c r="AO209" s="137"/>
      <c r="AR209" s="137"/>
      <c r="AT209" s="137"/>
      <c r="AV209" s="137"/>
      <c r="AW209" s="137"/>
      <c r="AX209" s="137"/>
    </row>
    <row r="210" spans="1:50" s="79" customFormat="1" ht="10.199999999999999" x14ac:dyDescent="0.2">
      <c r="A210" s="97">
        <f t="shared" ca="1" si="5"/>
        <v>199</v>
      </c>
      <c r="B210" s="68" t="s">
        <v>287</v>
      </c>
      <c r="C210" s="98">
        <v>0.4</v>
      </c>
      <c r="D210" s="69" t="s">
        <v>67</v>
      </c>
      <c r="E210" s="138" t="s">
        <v>87</v>
      </c>
      <c r="F210" s="158" t="s">
        <v>87</v>
      </c>
      <c r="G210" s="158">
        <v>4.2750000000000002E-3</v>
      </c>
      <c r="H210" s="158" t="s">
        <v>87</v>
      </c>
      <c r="I210" s="158">
        <v>7.5789999999999998E-3</v>
      </c>
      <c r="J210" s="158" t="s">
        <v>87</v>
      </c>
      <c r="K210" s="158">
        <v>1.1918E-2</v>
      </c>
      <c r="L210" s="158">
        <v>1.4062E-2</v>
      </c>
      <c r="M210" s="158">
        <v>1.6954E-2</v>
      </c>
      <c r="N210" s="139" cm="1">
        <f t="array" aca="1" ref="N210:AE210" ca="1">IF(OR(B210="",NOT($J$2)),"",GetStripDefaultProbability(A210,B210,Parameter_Date,CDSRollDate,E210:M210,SpreadCurveMaturities,D210,C210,$J$4,$J$6))</f>
        <v>0</v>
      </c>
      <c r="O210" s="165">
        <f ca="1"/>
        <v>0</v>
      </c>
      <c r="P210" s="165">
        <f ca="1"/>
        <v>7.5177072807636192E-3</v>
      </c>
      <c r="Q210" s="165">
        <f ca="1"/>
        <v>0</v>
      </c>
      <c r="R210" s="165">
        <f ca="1"/>
        <v>3.8582594925187119E-2</v>
      </c>
      <c r="S210" s="165">
        <f ca="1"/>
        <v>0</v>
      </c>
      <c r="T210" s="165">
        <f ca="1"/>
        <v>0.10039519058092994</v>
      </c>
      <c r="U210" s="165">
        <f ca="1"/>
        <v>0.16223131028920301</v>
      </c>
      <c r="V210" s="140">
        <f ca="1"/>
        <v>0.27077803547360979</v>
      </c>
      <c r="W210" s="139">
        <f ca="1"/>
        <v>0</v>
      </c>
      <c r="X210" s="165">
        <f ca="1"/>
        <v>0</v>
      </c>
      <c r="Y210" s="165">
        <f ca="1"/>
        <v>7.8918393133506903E-3</v>
      </c>
      <c r="Z210" s="165">
        <f ca="1"/>
        <v>0</v>
      </c>
      <c r="AA210" s="165">
        <f ca="1"/>
        <v>4.0468736621591894E-2</v>
      </c>
      <c r="AB210" s="165">
        <f ca="1"/>
        <v>0</v>
      </c>
      <c r="AC210" s="165">
        <f ca="1"/>
        <v>0.10521889862475564</v>
      </c>
      <c r="AD210" s="165">
        <f ca="1"/>
        <v>0.16979820940495427</v>
      </c>
      <c r="AE210" s="140">
        <f ca="1"/>
        <v>0.2827491044504995</v>
      </c>
      <c r="AI210" s="137"/>
      <c r="AK210" s="137"/>
      <c r="AM210" s="137"/>
      <c r="AN210" s="137"/>
      <c r="AO210" s="137"/>
      <c r="AR210" s="137"/>
      <c r="AT210" s="137"/>
      <c r="AV210" s="137"/>
      <c r="AW210" s="137"/>
      <c r="AX210" s="137"/>
    </row>
    <row r="211" spans="1:50" s="79" customFormat="1" ht="10.199999999999999" x14ac:dyDescent="0.2">
      <c r="A211" s="97">
        <f t="shared" ca="1" si="5"/>
        <v>200</v>
      </c>
      <c r="B211" s="68" t="s">
        <v>288</v>
      </c>
      <c r="C211" s="98">
        <v>0.4</v>
      </c>
      <c r="D211" s="69" t="s">
        <v>67</v>
      </c>
      <c r="E211" s="138" t="s">
        <v>87</v>
      </c>
      <c r="F211" s="158" t="s">
        <v>87</v>
      </c>
      <c r="G211" s="158">
        <v>3.6250000000000002E-3</v>
      </c>
      <c r="H211" s="158" t="s">
        <v>87</v>
      </c>
      <c r="I211" s="158">
        <v>7.8189999999999996E-3</v>
      </c>
      <c r="J211" s="158" t="s">
        <v>87</v>
      </c>
      <c r="K211" s="158">
        <v>1.2063000000000001E-2</v>
      </c>
      <c r="L211" s="158">
        <v>1.3636000000000001E-2</v>
      </c>
      <c r="M211" s="158">
        <v>1.5828999999999999E-2</v>
      </c>
      <c r="N211" s="139" cm="1">
        <f t="array" aca="1" ref="N211:AE211" ca="1">IF(OR(B211="",NOT($J$2)),"",GetStripDefaultProbability(A211,B211,Parameter_Date,CDSRollDate,E211:M211,SpreadCurveMaturities,D211,C211,$J$4,$J$6))</f>
        <v>0</v>
      </c>
      <c r="O211" s="165">
        <f ca="1"/>
        <v>0</v>
      </c>
      <c r="P211" s="165">
        <f ca="1"/>
        <v>6.3782841513512212E-3</v>
      </c>
      <c r="Q211" s="165">
        <f ca="1"/>
        <v>0</v>
      </c>
      <c r="R211" s="165">
        <f ca="1"/>
        <v>3.9906355650780156E-2</v>
      </c>
      <c r="S211" s="165">
        <f ca="1"/>
        <v>0</v>
      </c>
      <c r="T211" s="165">
        <f ca="1"/>
        <v>0.101584805161407</v>
      </c>
      <c r="U211" s="165">
        <f ca="1"/>
        <v>0.15672012615460118</v>
      </c>
      <c r="V211" s="140">
        <f ca="1"/>
        <v>0.25177082355179103</v>
      </c>
      <c r="W211" s="139">
        <f ca="1"/>
        <v>0</v>
      </c>
      <c r="X211" s="165">
        <f ca="1"/>
        <v>0</v>
      </c>
      <c r="Y211" s="165">
        <f ca="1"/>
        <v>6.6959410840220501E-3</v>
      </c>
      <c r="Z211" s="165">
        <f ca="1"/>
        <v>0</v>
      </c>
      <c r="AA211" s="165">
        <f ca="1"/>
        <v>4.1856170323754771E-2</v>
      </c>
      <c r="AB211" s="165">
        <f ca="1"/>
        <v>0</v>
      </c>
      <c r="AC211" s="165">
        <f ca="1"/>
        <v>0.10646375568733324</v>
      </c>
      <c r="AD211" s="165">
        <f ca="1"/>
        <v>0.16403219859806428</v>
      </c>
      <c r="AE211" s="140">
        <f ca="1"/>
        <v>0.26295135950066462</v>
      </c>
      <c r="AI211" s="137"/>
      <c r="AK211" s="137"/>
      <c r="AM211" s="137"/>
      <c r="AN211" s="137"/>
      <c r="AO211" s="137"/>
      <c r="AR211" s="137"/>
      <c r="AT211" s="137"/>
      <c r="AV211" s="137"/>
      <c r="AW211" s="137"/>
      <c r="AX211" s="137"/>
    </row>
    <row r="212" spans="1:50" s="79" customFormat="1" ht="10.199999999999999" x14ac:dyDescent="0.2">
      <c r="A212" s="97">
        <f t="shared" ca="1" si="5"/>
        <v>201</v>
      </c>
      <c r="B212" s="68" t="s">
        <v>289</v>
      </c>
      <c r="C212" s="98">
        <v>0.4</v>
      </c>
      <c r="D212" s="69" t="s">
        <v>67</v>
      </c>
      <c r="E212" s="138" t="s">
        <v>87</v>
      </c>
      <c r="F212" s="158" t="s">
        <v>87</v>
      </c>
      <c r="G212" s="158">
        <v>6.7599999999999995E-4</v>
      </c>
      <c r="H212" s="158" t="s">
        <v>87</v>
      </c>
      <c r="I212" s="158">
        <v>1.158E-3</v>
      </c>
      <c r="J212" s="158" t="s">
        <v>87</v>
      </c>
      <c r="K212" s="158">
        <v>1.9300000000000001E-3</v>
      </c>
      <c r="L212" s="158">
        <v>2.4610000000000001E-3</v>
      </c>
      <c r="M212" s="158">
        <v>3.571E-3</v>
      </c>
      <c r="N212" s="139" cm="1">
        <f t="array" aca="1" ref="N212:AE212" ca="1">IF(OR(B212="",NOT($J$2)),"",GetStripDefaultProbability(A212,B212,Parameter_Date,CDSRollDate,E212:M212,SpreadCurveMaturities,D212,C212,$J$4,$J$6))</f>
        <v>0</v>
      </c>
      <c r="O212" s="165">
        <f ca="1"/>
        <v>0</v>
      </c>
      <c r="P212" s="165">
        <f ca="1"/>
        <v>1.1925124789798902E-3</v>
      </c>
      <c r="Q212" s="165">
        <f ca="1"/>
        <v>0</v>
      </c>
      <c r="R212" s="165">
        <f ca="1"/>
        <v>5.973821121571854E-3</v>
      </c>
      <c r="S212" s="165">
        <f ca="1"/>
        <v>0</v>
      </c>
      <c r="T212" s="165">
        <f ca="1"/>
        <v>1.6819912938930703E-2</v>
      </c>
      <c r="U212" s="165">
        <f ca="1"/>
        <v>3.0213642459549162E-2</v>
      </c>
      <c r="V212" s="140">
        <f ca="1"/>
        <v>6.4239051445715178E-2</v>
      </c>
      <c r="W212" s="139">
        <f ca="1"/>
        <v>0</v>
      </c>
      <c r="X212" s="165">
        <f ca="1"/>
        <v>0</v>
      </c>
      <c r="Y212" s="165">
        <f ca="1"/>
        <v>1.3589665219959635E-3</v>
      </c>
      <c r="Z212" s="165">
        <f ca="1"/>
        <v>0</v>
      </c>
      <c r="AA212" s="165">
        <f ca="1"/>
        <v>6.4707099784359068E-3</v>
      </c>
      <c r="AB212" s="165">
        <f ca="1"/>
        <v>0</v>
      </c>
      <c r="AC212" s="165">
        <f ca="1"/>
        <v>1.7638888391021568E-2</v>
      </c>
      <c r="AD212" s="165">
        <f ca="1"/>
        <v>3.1673978568858008E-2</v>
      </c>
      <c r="AE212" s="140">
        <f ca="1"/>
        <v>6.7329735651967204E-2</v>
      </c>
      <c r="AI212" s="137"/>
      <c r="AK212" s="137"/>
      <c r="AM212" s="137"/>
      <c r="AN212" s="137"/>
      <c r="AO212" s="137"/>
      <c r="AR212" s="137"/>
      <c r="AT212" s="137"/>
      <c r="AV212" s="137"/>
      <c r="AW212" s="137"/>
      <c r="AX212" s="137"/>
    </row>
    <row r="213" spans="1:50" s="79" customFormat="1" ht="10.199999999999999" x14ac:dyDescent="0.2">
      <c r="A213" s="97">
        <f t="shared" ca="1" si="5"/>
        <v>202</v>
      </c>
      <c r="B213" s="68" t="s">
        <v>290</v>
      </c>
      <c r="C213" s="98">
        <v>0.4</v>
      </c>
      <c r="D213" s="69" t="s">
        <v>67</v>
      </c>
      <c r="E213" s="138" t="s">
        <v>87</v>
      </c>
      <c r="F213" s="158" t="s">
        <v>87</v>
      </c>
      <c r="G213" s="158">
        <v>5.1699999999999999E-4</v>
      </c>
      <c r="H213" s="158" t="s">
        <v>87</v>
      </c>
      <c r="I213" s="158">
        <v>1.0820000000000001E-3</v>
      </c>
      <c r="J213" s="158" t="s">
        <v>87</v>
      </c>
      <c r="K213" s="158">
        <v>1.882E-3</v>
      </c>
      <c r="L213" s="158">
        <v>2.1879999999999998E-3</v>
      </c>
      <c r="M213" s="158">
        <v>2.7569999999999999E-3</v>
      </c>
      <c r="N213" s="139" cm="1">
        <f t="array" aca="1" ref="N213:AE213" ca="1">IF(OR(B213="",NOT($J$2)),"",GetStripDefaultProbability(A213,B213,Parameter_Date,CDSRollDate,E213:M213,SpreadCurveMaturities,D213,C213,$J$4,$J$6))</f>
        <v>0</v>
      </c>
      <c r="O213" s="165">
        <f ca="1"/>
        <v>0</v>
      </c>
      <c r="P213" s="165">
        <f ca="1"/>
        <v>9.1215211408490759E-4</v>
      </c>
      <c r="Q213" s="165">
        <f ca="1"/>
        <v>0</v>
      </c>
      <c r="R213" s="165">
        <f ca="1"/>
        <v>5.5972436107266654E-3</v>
      </c>
      <c r="S213" s="165">
        <f ca="1"/>
        <v>0</v>
      </c>
      <c r="T213" s="165">
        <f ca="1"/>
        <v>1.6448408150568472E-2</v>
      </c>
      <c r="U213" s="165">
        <f ca="1"/>
        <v>2.6703619928509781E-2</v>
      </c>
      <c r="V213" s="140">
        <f ca="1"/>
        <v>4.8731688325209799E-2</v>
      </c>
      <c r="W213" s="139">
        <f ca="1"/>
        <v>0</v>
      </c>
      <c r="X213" s="165">
        <f ca="1"/>
        <v>0</v>
      </c>
      <c r="Y213" s="165">
        <f ca="1"/>
        <v>1.0786528799665573E-3</v>
      </c>
      <c r="Z213" s="165">
        <f ca="1"/>
        <v>0</v>
      </c>
      <c r="AA213" s="165">
        <f ca="1"/>
        <v>6.0943207092513108E-3</v>
      </c>
      <c r="AB213" s="165">
        <f ca="1"/>
        <v>0</v>
      </c>
      <c r="AC213" s="165">
        <f ca="1"/>
        <v>1.7267693060954548E-2</v>
      </c>
      <c r="AD213" s="165">
        <f ca="1"/>
        <v>2.7986855233419816E-2</v>
      </c>
      <c r="AE213" s="140">
        <f ca="1"/>
        <v>5.1078031950548164E-2</v>
      </c>
      <c r="AI213" s="137"/>
      <c r="AK213" s="137"/>
      <c r="AM213" s="137"/>
      <c r="AN213" s="137"/>
      <c r="AO213" s="137"/>
      <c r="AR213" s="137"/>
      <c r="AT213" s="137"/>
      <c r="AV213" s="137"/>
      <c r="AW213" s="137"/>
      <c r="AX213" s="137"/>
    </row>
    <row r="214" spans="1:50" s="79" customFormat="1" ht="10.199999999999999" x14ac:dyDescent="0.2">
      <c r="A214" s="97">
        <f t="shared" ca="1" si="5"/>
        <v>203</v>
      </c>
      <c r="B214" s="68" t="s">
        <v>291</v>
      </c>
      <c r="C214" s="98">
        <v>0.4</v>
      </c>
      <c r="D214" s="69" t="s">
        <v>67</v>
      </c>
      <c r="E214" s="138" t="s">
        <v>87</v>
      </c>
      <c r="F214" s="158" t="s">
        <v>87</v>
      </c>
      <c r="G214" s="158">
        <v>5.7200000000000003E-4</v>
      </c>
      <c r="H214" s="158" t="s">
        <v>87</v>
      </c>
      <c r="I214" s="158">
        <v>2.3140000000000001E-3</v>
      </c>
      <c r="J214" s="158" t="s">
        <v>87</v>
      </c>
      <c r="K214" s="158">
        <v>4.1009999999999996E-3</v>
      </c>
      <c r="L214" s="158">
        <v>5.7629999999999999E-3</v>
      </c>
      <c r="M214" s="158">
        <v>6.9569999999999996E-3</v>
      </c>
      <c r="N214" s="139" cm="1">
        <f t="array" aca="1" ref="N214:AE214" ca="1">IF(OR(B214="",NOT($J$2)),"",GetStripDefaultProbability(A214,B214,Parameter_Date,CDSRollDate,E214:M214,SpreadCurveMaturities,D214,C214,$J$4,$J$6))</f>
        <v>0</v>
      </c>
      <c r="O214" s="165">
        <f ca="1"/>
        <v>0</v>
      </c>
      <c r="P214" s="165">
        <f ca="1"/>
        <v>1.0091409498625969E-3</v>
      </c>
      <c r="Q214" s="165">
        <f ca="1"/>
        <v>0</v>
      </c>
      <c r="R214" s="165">
        <f ca="1"/>
        <v>1.2010596542195939E-2</v>
      </c>
      <c r="S214" s="165">
        <f ca="1"/>
        <v>0</v>
      </c>
      <c r="T214" s="165">
        <f ca="1"/>
        <v>3.5710111137272738E-2</v>
      </c>
      <c r="U214" s="165">
        <f ca="1"/>
        <v>7.0608664130174081E-2</v>
      </c>
      <c r="V214" s="140">
        <f ca="1"/>
        <v>0.12022641247054822</v>
      </c>
      <c r="W214" s="139">
        <f ca="1"/>
        <v>0</v>
      </c>
      <c r="X214" s="165">
        <f ca="1"/>
        <v>0</v>
      </c>
      <c r="Y214" s="165">
        <f ca="1"/>
        <v>1.1756255522581416E-3</v>
      </c>
      <c r="Z214" s="165">
        <f ca="1"/>
        <v>0</v>
      </c>
      <c r="AA214" s="165">
        <f ca="1"/>
        <v>1.2581983122562979E-2</v>
      </c>
      <c r="AB214" s="165">
        <f ca="1"/>
        <v>0</v>
      </c>
      <c r="AC214" s="165">
        <f ca="1"/>
        <v>3.7460453375181446E-2</v>
      </c>
      <c r="AD214" s="165">
        <f ca="1"/>
        <v>7.4032928421524424E-2</v>
      </c>
      <c r="AE214" s="140">
        <f ca="1"/>
        <v>0.12595655083162094</v>
      </c>
      <c r="AI214" s="137"/>
      <c r="AK214" s="137"/>
      <c r="AM214" s="137"/>
      <c r="AN214" s="137"/>
      <c r="AO214" s="137"/>
      <c r="AR214" s="137"/>
      <c r="AT214" s="137"/>
      <c r="AV214" s="137"/>
      <c r="AW214" s="137"/>
      <c r="AX214" s="137"/>
    </row>
    <row r="215" spans="1:50" s="79" customFormat="1" ht="10.199999999999999" x14ac:dyDescent="0.2">
      <c r="A215" s="97">
        <f t="shared" ca="1" si="5"/>
        <v>204</v>
      </c>
      <c r="B215" s="68" t="s">
        <v>292</v>
      </c>
      <c r="C215" s="98">
        <v>0.4</v>
      </c>
      <c r="D215" s="69" t="s">
        <v>67</v>
      </c>
      <c r="E215" s="138" t="s">
        <v>87</v>
      </c>
      <c r="F215" s="158" t="s">
        <v>87</v>
      </c>
      <c r="G215" s="158">
        <v>1.358E-3</v>
      </c>
      <c r="H215" s="158" t="s">
        <v>87</v>
      </c>
      <c r="I215" s="158">
        <v>2.5469999999999998E-3</v>
      </c>
      <c r="J215" s="158" t="s">
        <v>87</v>
      </c>
      <c r="K215" s="158">
        <v>4.5840000000000004E-3</v>
      </c>
      <c r="L215" s="158">
        <v>5.7549999999999997E-3</v>
      </c>
      <c r="M215" s="158">
        <v>8.0470000000000003E-3</v>
      </c>
      <c r="N215" s="139" cm="1">
        <f t="array" aca="1" ref="N215:AE215" ca="1">IF(OR(B215="",NOT($J$2)),"",GetStripDefaultProbability(A215,B215,Parameter_Date,CDSRollDate,E215:M215,SpreadCurveMaturities,D215,C215,$J$4,$J$6))</f>
        <v>0</v>
      </c>
      <c r="O215" s="165">
        <f ca="1"/>
        <v>0</v>
      </c>
      <c r="P215" s="165">
        <f ca="1"/>
        <v>2.394179147136688E-3</v>
      </c>
      <c r="Q215" s="165">
        <f ca="1"/>
        <v>0</v>
      </c>
      <c r="R215" s="165">
        <f ca="1"/>
        <v>1.311699649252851E-2</v>
      </c>
      <c r="S215" s="165">
        <f ca="1"/>
        <v>0</v>
      </c>
      <c r="T215" s="165">
        <f ca="1"/>
        <v>3.9782893071384273E-2</v>
      </c>
      <c r="U215" s="165">
        <f ca="1"/>
        <v>6.9702524322832082E-2</v>
      </c>
      <c r="V215" s="140">
        <f ca="1"/>
        <v>0.1403078573080756</v>
      </c>
      <c r="W215" s="139">
        <f ca="1"/>
        <v>0</v>
      </c>
      <c r="X215" s="165">
        <f ca="1"/>
        <v>0</v>
      </c>
      <c r="Y215" s="165">
        <f ca="1"/>
        <v>2.5604329290928041E-3</v>
      </c>
      <c r="Z215" s="165">
        <f ca="1"/>
        <v>0</v>
      </c>
      <c r="AA215" s="165">
        <f ca="1"/>
        <v>1.3764561109765205E-2</v>
      </c>
      <c r="AB215" s="165">
        <f ca="1"/>
        <v>0</v>
      </c>
      <c r="AC215" s="165">
        <f ca="1"/>
        <v>4.173276969891937E-2</v>
      </c>
      <c r="AD215" s="165">
        <f ca="1"/>
        <v>7.3083756544750966E-2</v>
      </c>
      <c r="AE215" s="140">
        <f ca="1"/>
        <v>0.1469706628679921</v>
      </c>
      <c r="AI215" s="137"/>
      <c r="AK215" s="137"/>
      <c r="AM215" s="137"/>
      <c r="AN215" s="137"/>
      <c r="AO215" s="137"/>
      <c r="AR215" s="137"/>
      <c r="AT215" s="137"/>
      <c r="AV215" s="137"/>
      <c r="AW215" s="137"/>
      <c r="AX215" s="137"/>
    </row>
    <row r="216" spans="1:50" s="79" customFormat="1" ht="10.199999999999999" x14ac:dyDescent="0.2">
      <c r="A216" s="97">
        <f t="shared" ca="1" si="5"/>
        <v>205</v>
      </c>
      <c r="B216" s="68" t="s">
        <v>293</v>
      </c>
      <c r="C216" s="98">
        <v>0.4</v>
      </c>
      <c r="D216" s="69" t="s">
        <v>67</v>
      </c>
      <c r="E216" s="138" t="s">
        <v>87</v>
      </c>
      <c r="F216" s="158" t="s">
        <v>87</v>
      </c>
      <c r="G216" s="158">
        <v>2.9978999999999999E-2</v>
      </c>
      <c r="H216" s="158" t="s">
        <v>87</v>
      </c>
      <c r="I216" s="158">
        <v>2.785E-2</v>
      </c>
      <c r="J216" s="158" t="s">
        <v>87</v>
      </c>
      <c r="K216" s="158">
        <v>2.5090000000000001E-2</v>
      </c>
      <c r="L216" s="158">
        <v>2.1465999999999999E-2</v>
      </c>
      <c r="M216" s="158">
        <v>1.8398999999999999E-2</v>
      </c>
      <c r="N216" s="139" cm="1">
        <f t="array" aca="1" ref="N216:AE216" ca="1">IF(OR(B216="",NOT($J$2)),"",GetStripDefaultProbability(A216,B216,Parameter_Date,CDSRollDate,E216:M216,SpreadCurveMaturities,D216,C216,$J$4,$J$6))</f>
        <v>0</v>
      </c>
      <c r="O216" s="165">
        <f ca="1"/>
        <v>0</v>
      </c>
      <c r="P216" s="165">
        <f ca="1"/>
        <v>5.1539675976937094E-2</v>
      </c>
      <c r="Q216" s="165">
        <f ca="1"/>
        <v>0</v>
      </c>
      <c r="R216" s="165">
        <f ca="1"/>
        <v>0.1324303476577553</v>
      </c>
      <c r="S216" s="165">
        <f ca="1"/>
        <v>0</v>
      </c>
      <c r="T216" s="165">
        <f ca="1"/>
        <v>0.18836042379383011</v>
      </c>
      <c r="U216" s="165">
        <f ca="1"/>
        <v>0.21308270482352543</v>
      </c>
      <c r="V216" s="140">
        <f ca="1"/>
        <v>0.24352565194348541</v>
      </c>
      <c r="W216" s="139">
        <f ca="1"/>
        <v>0</v>
      </c>
      <c r="X216" s="165">
        <f ca="1"/>
        <v>0</v>
      </c>
      <c r="Y216" s="165">
        <f ca="1"/>
        <v>5.4045710630722277E-2</v>
      </c>
      <c r="Z216" s="165">
        <f ca="1"/>
        <v>0</v>
      </c>
      <c r="AA216" s="165">
        <f ca="1"/>
        <v>0.13855712202682668</v>
      </c>
      <c r="AB216" s="165">
        <f ca="1"/>
        <v>0</v>
      </c>
      <c r="AC216" s="165">
        <f ca="1"/>
        <v>0.19669596110468313</v>
      </c>
      <c r="AD216" s="165">
        <f ca="1"/>
        <v>0.22216548181572326</v>
      </c>
      <c r="AE216" s="140">
        <f ca="1"/>
        <v>0.25347405470818507</v>
      </c>
      <c r="AI216" s="137"/>
      <c r="AK216" s="137"/>
      <c r="AM216" s="137"/>
      <c r="AN216" s="137"/>
      <c r="AO216" s="137"/>
      <c r="AR216" s="137"/>
      <c r="AT216" s="137"/>
      <c r="AV216" s="137"/>
      <c r="AW216" s="137"/>
      <c r="AX216" s="137"/>
    </row>
    <row r="217" spans="1:50" s="79" customFormat="1" ht="10.199999999999999" x14ac:dyDescent="0.2">
      <c r="A217" s="97">
        <f t="shared" ca="1" si="5"/>
        <v>206</v>
      </c>
      <c r="B217" s="68" t="s">
        <v>294</v>
      </c>
      <c r="C217" s="98">
        <v>0.4</v>
      </c>
      <c r="D217" s="69" t="s">
        <v>67</v>
      </c>
      <c r="E217" s="138" t="s">
        <v>87</v>
      </c>
      <c r="F217" s="158" t="s">
        <v>87</v>
      </c>
      <c r="G217" s="158">
        <v>1.1770000000000001E-3</v>
      </c>
      <c r="H217" s="158" t="s">
        <v>87</v>
      </c>
      <c r="I217" s="158">
        <v>1.9789999999999999E-3</v>
      </c>
      <c r="J217" s="158" t="s">
        <v>87</v>
      </c>
      <c r="K217" s="158">
        <v>2.4610000000000001E-3</v>
      </c>
      <c r="L217" s="158">
        <v>3.2100000000000002E-3</v>
      </c>
      <c r="M217" s="158">
        <v>4.0119999999999999E-3</v>
      </c>
      <c r="N217" s="139" cm="1">
        <f t="array" aca="1" ref="N217:AE217" ca="1">IF(OR(B217="",NOT($J$2)),"",GetStripDefaultProbability(A217,B217,Parameter_Date,CDSRollDate,E217:M217,SpreadCurveMaturities,D217,C217,$J$4,$J$6))</f>
        <v>0</v>
      </c>
      <c r="O217" s="165">
        <f ca="1"/>
        <v>0</v>
      </c>
      <c r="P217" s="165">
        <f ca="1"/>
        <v>2.0754016392001695E-3</v>
      </c>
      <c r="Q217" s="165">
        <f ca="1"/>
        <v>0</v>
      </c>
      <c r="R217" s="165">
        <f ca="1"/>
        <v>1.0188143065855693E-2</v>
      </c>
      <c r="S217" s="165">
        <f ca="1"/>
        <v>0</v>
      </c>
      <c r="T217" s="165">
        <f ca="1"/>
        <v>2.1090813253032303E-2</v>
      </c>
      <c r="U217" s="165">
        <f ca="1"/>
        <v>3.9036898516894847E-2</v>
      </c>
      <c r="V217" s="140">
        <f ca="1"/>
        <v>7.0301370446471778E-2</v>
      </c>
      <c r="W217" s="139">
        <f ca="1"/>
        <v>0</v>
      </c>
      <c r="X217" s="165">
        <f ca="1"/>
        <v>0</v>
      </c>
      <c r="Y217" s="165">
        <f ca="1"/>
        <v>2.2417085462873576E-3</v>
      </c>
      <c r="Z217" s="165">
        <f ca="1"/>
        <v>0</v>
      </c>
      <c r="AA217" s="165">
        <f ca="1"/>
        <v>1.0682925288429512E-2</v>
      </c>
      <c r="AB217" s="165">
        <f ca="1"/>
        <v>0</v>
      </c>
      <c r="AC217" s="165">
        <f ca="1"/>
        <v>2.2130638669128233E-2</v>
      </c>
      <c r="AD217" s="165">
        <f ca="1"/>
        <v>4.0951731748329001E-2</v>
      </c>
      <c r="AE217" s="140">
        <f ca="1"/>
        <v>7.3701063461150573E-2</v>
      </c>
      <c r="AI217" s="137"/>
      <c r="AK217" s="137"/>
      <c r="AM217" s="137"/>
      <c r="AN217" s="137"/>
      <c r="AO217" s="137"/>
      <c r="AR217" s="137"/>
      <c r="AT217" s="137"/>
      <c r="AV217" s="137"/>
      <c r="AW217" s="137"/>
      <c r="AX217" s="137"/>
    </row>
    <row r="218" spans="1:50" s="79" customFormat="1" ht="10.199999999999999" x14ac:dyDescent="0.2">
      <c r="A218" s="97">
        <f t="shared" ca="1" si="5"/>
        <v>207</v>
      </c>
      <c r="B218" s="68" t="s">
        <v>295</v>
      </c>
      <c r="C218" s="98">
        <v>0.4</v>
      </c>
      <c r="D218" s="69" t="s">
        <v>67</v>
      </c>
      <c r="E218" s="138" t="s">
        <v>87</v>
      </c>
      <c r="F218" s="158" t="s">
        <v>87</v>
      </c>
      <c r="G218" s="158">
        <v>6.0800000000000003E-4</v>
      </c>
      <c r="H218" s="158" t="s">
        <v>87</v>
      </c>
      <c r="I218" s="158">
        <v>1.688E-3</v>
      </c>
      <c r="J218" s="158" t="s">
        <v>87</v>
      </c>
      <c r="K218" s="158">
        <v>2.5089999999999999E-3</v>
      </c>
      <c r="L218" s="158">
        <v>3.3609999999999998E-3</v>
      </c>
      <c r="M218" s="158">
        <v>4.2129999999999997E-3</v>
      </c>
      <c r="N218" s="139" cm="1">
        <f t="array" aca="1" ref="N218:AE218" ca="1">IF(OR(B218="",NOT($J$2)),"",GetStripDefaultProbability(A218,B218,Parameter_Date,CDSRollDate,E218:M218,SpreadCurveMaturities,D218,C218,$J$4,$J$6))</f>
        <v>0</v>
      </c>
      <c r="O218" s="165">
        <f ca="1"/>
        <v>0</v>
      </c>
      <c r="P218" s="165">
        <f ca="1"/>
        <v>1.0726194909083109E-3</v>
      </c>
      <c r="Q218" s="165">
        <f ca="1"/>
        <v>0</v>
      </c>
      <c r="R218" s="165">
        <f ca="1"/>
        <v>8.7469009598281078E-3</v>
      </c>
      <c r="S218" s="165">
        <f ca="1"/>
        <v>0</v>
      </c>
      <c r="T218" s="165">
        <f ca="1"/>
        <v>2.1761014531380463E-2</v>
      </c>
      <c r="U218" s="165">
        <f ca="1"/>
        <v>4.1220063103004523E-2</v>
      </c>
      <c r="V218" s="140">
        <f ca="1"/>
        <v>7.4138821344098771E-2</v>
      </c>
      <c r="W218" s="139">
        <f ca="1"/>
        <v>0</v>
      </c>
      <c r="X218" s="165">
        <f ca="1"/>
        <v>0</v>
      </c>
      <c r="Y218" s="165">
        <f ca="1"/>
        <v>1.2390935144251936E-3</v>
      </c>
      <c r="Z218" s="165">
        <f ca="1"/>
        <v>0</v>
      </c>
      <c r="AA218" s="165">
        <f ca="1"/>
        <v>9.2424036233285101E-3</v>
      </c>
      <c r="AB218" s="165">
        <f ca="1"/>
        <v>0</v>
      </c>
      <c r="AC218" s="165">
        <f ca="1"/>
        <v>2.2822540733483887E-2</v>
      </c>
      <c r="AD218" s="165">
        <f ca="1"/>
        <v>4.3230154161459033E-2</v>
      </c>
      <c r="AE218" s="140">
        <f ca="1"/>
        <v>7.7708583997017744E-2</v>
      </c>
      <c r="AI218" s="137"/>
      <c r="AK218" s="137"/>
      <c r="AM218" s="137"/>
      <c r="AN218" s="137"/>
      <c r="AO218" s="137"/>
      <c r="AR218" s="137"/>
      <c r="AT218" s="137"/>
      <c r="AV218" s="137"/>
      <c r="AW218" s="137"/>
      <c r="AX218" s="137"/>
    </row>
    <row r="219" spans="1:50" s="79" customFormat="1" ht="10.199999999999999" x14ac:dyDescent="0.2">
      <c r="A219" s="97">
        <f t="shared" ca="1" si="5"/>
        <v>208</v>
      </c>
      <c r="B219" s="68" t="s">
        <v>296</v>
      </c>
      <c r="C219" s="98">
        <v>0.4</v>
      </c>
      <c r="D219" s="69" t="s">
        <v>67</v>
      </c>
      <c r="E219" s="138" t="s">
        <v>87</v>
      </c>
      <c r="F219" s="158" t="s">
        <v>87</v>
      </c>
      <c r="G219" s="158">
        <v>2.8519999999999999E-3</v>
      </c>
      <c r="H219" s="158" t="s">
        <v>87</v>
      </c>
      <c r="I219" s="158">
        <v>4.0480000000000004E-3</v>
      </c>
      <c r="J219" s="158" t="s">
        <v>87</v>
      </c>
      <c r="K219" s="158">
        <v>6.8999999999999999E-3</v>
      </c>
      <c r="L219" s="158">
        <v>8.3260000000000001E-3</v>
      </c>
      <c r="M219" s="158">
        <v>1.0028E-2</v>
      </c>
      <c r="N219" s="139" cm="1">
        <f t="array" aca="1" ref="N219:AE219" ca="1">IF(OR(B219="",NOT($J$2)),"",GetStripDefaultProbability(A219,B219,Parameter_Date,CDSRollDate,E219:M219,SpreadCurveMaturities,D219,C219,$J$4,$J$6))</f>
        <v>0</v>
      </c>
      <c r="O219" s="165">
        <f ca="1"/>
        <v>0</v>
      </c>
      <c r="P219" s="165">
        <f ca="1"/>
        <v>5.0215613405512061E-3</v>
      </c>
      <c r="Q219" s="165">
        <f ca="1"/>
        <v>0</v>
      </c>
      <c r="R219" s="165">
        <f ca="1"/>
        <v>2.0683990234869221E-2</v>
      </c>
      <c r="S219" s="165">
        <f ca="1"/>
        <v>0</v>
      </c>
      <c r="T219" s="165">
        <f ca="1"/>
        <v>5.9222719021963077E-2</v>
      </c>
      <c r="U219" s="165">
        <f ca="1"/>
        <v>9.9046376389247737E-2</v>
      </c>
      <c r="V219" s="140">
        <f ca="1"/>
        <v>0.16799233867775065</v>
      </c>
      <c r="W219" s="139">
        <f ca="1"/>
        <v>0</v>
      </c>
      <c r="X219" s="165">
        <f ca="1"/>
        <v>0</v>
      </c>
      <c r="Y219" s="165">
        <f ca="1"/>
        <v>5.2580064507877777E-3</v>
      </c>
      <c r="Z219" s="165">
        <f ca="1"/>
        <v>0</v>
      </c>
      <c r="AA219" s="165">
        <f ca="1"/>
        <v>2.1707020406985245E-2</v>
      </c>
      <c r="AB219" s="165">
        <f ca="1"/>
        <v>0</v>
      </c>
      <c r="AC219" s="165">
        <f ca="1"/>
        <v>6.2102922102785674E-2</v>
      </c>
      <c r="AD219" s="165">
        <f ca="1"/>
        <v>0.10378871076557916</v>
      </c>
      <c r="AE219" s="140">
        <f ca="1"/>
        <v>0.17582101737673117</v>
      </c>
      <c r="AI219" s="137"/>
      <c r="AK219" s="137"/>
      <c r="AM219" s="137"/>
      <c r="AN219" s="137"/>
      <c r="AO219" s="137"/>
      <c r="AR219" s="137"/>
      <c r="AT219" s="137"/>
      <c r="AV219" s="137"/>
      <c r="AW219" s="137"/>
      <c r="AX219" s="137"/>
    </row>
    <row r="220" spans="1:50" s="79" customFormat="1" ht="10.199999999999999" x14ac:dyDescent="0.2">
      <c r="A220" s="97">
        <f t="shared" ca="1" si="5"/>
        <v>209</v>
      </c>
      <c r="B220" s="68" t="s">
        <v>297</v>
      </c>
      <c r="C220" s="98">
        <v>0.4</v>
      </c>
      <c r="D220" s="69" t="s">
        <v>67</v>
      </c>
      <c r="E220" s="138" t="s">
        <v>87</v>
      </c>
      <c r="F220" s="158" t="s">
        <v>87</v>
      </c>
      <c r="G220" s="158">
        <v>1.1709999999999999E-3</v>
      </c>
      <c r="H220" s="158" t="s">
        <v>87</v>
      </c>
      <c r="I220" s="158">
        <v>2.1580000000000002E-3</v>
      </c>
      <c r="J220" s="158" t="s">
        <v>87</v>
      </c>
      <c r="K220" s="158">
        <v>3.3289999999999999E-3</v>
      </c>
      <c r="L220" s="158">
        <v>3.5130000000000001E-3</v>
      </c>
      <c r="M220" s="158">
        <v>4.032E-3</v>
      </c>
      <c r="N220" s="139" cm="1">
        <f t="array" aca="1" ref="N220:AE220" ca="1">IF(OR(B220="",NOT($J$2)),"",GetStripDefaultProbability(A220,B220,Parameter_Date,CDSRollDate,E220:M220,SpreadCurveMaturities,D220,C220,$J$4,$J$6))</f>
        <v>0</v>
      </c>
      <c r="O220" s="165">
        <f ca="1"/>
        <v>0</v>
      </c>
      <c r="P220" s="165">
        <f ca="1"/>
        <v>2.0648326988291776E-3</v>
      </c>
      <c r="Q220" s="165">
        <f ca="1"/>
        <v>0</v>
      </c>
      <c r="R220" s="165">
        <f ca="1"/>
        <v>1.112014078188206E-2</v>
      </c>
      <c r="S220" s="165">
        <f ca="1"/>
        <v>0</v>
      </c>
      <c r="T220" s="165">
        <f ca="1"/>
        <v>2.8795917420826878E-2</v>
      </c>
      <c r="U220" s="165">
        <f ca="1"/>
        <v>4.2002370149119672E-2</v>
      </c>
      <c r="V220" s="140">
        <f ca="1"/>
        <v>6.9037747612478606E-2</v>
      </c>
      <c r="W220" s="139">
        <f ca="1"/>
        <v>0</v>
      </c>
      <c r="X220" s="165">
        <f ca="1"/>
        <v>0</v>
      </c>
      <c r="Y220" s="165">
        <f ca="1"/>
        <v>2.2311413672673197E-3</v>
      </c>
      <c r="Z220" s="165">
        <f ca="1"/>
        <v>0</v>
      </c>
      <c r="AA220" s="165">
        <f ca="1"/>
        <v>1.1653497580018324E-2</v>
      </c>
      <c r="AB220" s="165">
        <f ca="1"/>
        <v>0</v>
      </c>
      <c r="AC220" s="165">
        <f ca="1"/>
        <v>3.0213453314578476E-2</v>
      </c>
      <c r="AD220" s="165">
        <f ca="1"/>
        <v>4.4059269236955134E-2</v>
      </c>
      <c r="AE220" s="140">
        <f ca="1"/>
        <v>7.2371631032543626E-2</v>
      </c>
      <c r="AI220" s="137"/>
      <c r="AK220" s="137"/>
      <c r="AM220" s="137"/>
      <c r="AN220" s="137"/>
      <c r="AO220" s="137"/>
      <c r="AR220" s="137"/>
      <c r="AT220" s="137"/>
      <c r="AV220" s="137"/>
      <c r="AW220" s="137"/>
      <c r="AX220" s="137"/>
    </row>
    <row r="221" spans="1:50" s="79" customFormat="1" ht="10.199999999999999" x14ac:dyDescent="0.2">
      <c r="A221" s="97">
        <f t="shared" ca="1" si="5"/>
        <v>210</v>
      </c>
      <c r="B221" s="68" t="s">
        <v>298</v>
      </c>
      <c r="C221" s="98">
        <v>0.4</v>
      </c>
      <c r="D221" s="69" t="s">
        <v>67</v>
      </c>
      <c r="E221" s="138" t="s">
        <v>87</v>
      </c>
      <c r="F221" s="158" t="s">
        <v>87</v>
      </c>
      <c r="G221" s="158">
        <v>8.4699999999999999E-4</v>
      </c>
      <c r="H221" s="158" t="s">
        <v>87</v>
      </c>
      <c r="I221" s="158">
        <v>2.3890000000000001E-3</v>
      </c>
      <c r="J221" s="158" t="s">
        <v>87</v>
      </c>
      <c r="K221" s="158">
        <v>3.8119999999999999E-3</v>
      </c>
      <c r="L221" s="158">
        <v>5.0819999999999997E-3</v>
      </c>
      <c r="M221" s="158">
        <v>7.1149999999999998E-3</v>
      </c>
      <c r="N221" s="139" cm="1">
        <f t="array" aca="1" ref="N221:AE221" ca="1">IF(OR(B221="",NOT($J$2)),"",GetStripDefaultProbability(A221,B221,Parameter_Date,CDSRollDate,E221:M221,SpreadCurveMaturities,D221,C221,$J$4,$J$6))</f>
        <v>0</v>
      </c>
      <c r="O221" s="165">
        <f ca="1"/>
        <v>0</v>
      </c>
      <c r="P221" s="165">
        <f ca="1"/>
        <v>1.4939449736464105E-3</v>
      </c>
      <c r="Q221" s="165">
        <f ca="1"/>
        <v>0</v>
      </c>
      <c r="R221" s="165">
        <f ca="1"/>
        <v>1.2364076943364166E-2</v>
      </c>
      <c r="S221" s="165">
        <f ca="1"/>
        <v>0</v>
      </c>
      <c r="T221" s="165">
        <f ca="1"/>
        <v>3.3039369981385236E-2</v>
      </c>
      <c r="U221" s="165">
        <f ca="1"/>
        <v>6.1960191909447015E-2</v>
      </c>
      <c r="V221" s="140">
        <f ca="1"/>
        <v>0.12500328264846416</v>
      </c>
      <c r="W221" s="139">
        <f ca="1"/>
        <v>0</v>
      </c>
      <c r="X221" s="165">
        <f ca="1"/>
        <v>0</v>
      </c>
      <c r="Y221" s="165">
        <f ca="1"/>
        <v>1.6603487820954221E-3</v>
      </c>
      <c r="Z221" s="165">
        <f ca="1"/>
        <v>0</v>
      </c>
      <c r="AA221" s="165">
        <f ca="1"/>
        <v>1.295376638487622E-2</v>
      </c>
      <c r="AB221" s="165">
        <f ca="1"/>
        <v>0</v>
      </c>
      <c r="AC221" s="165">
        <f ca="1"/>
        <v>3.4661660103194492E-2</v>
      </c>
      <c r="AD221" s="165">
        <f ca="1"/>
        <v>6.4974434891840849E-2</v>
      </c>
      <c r="AE221" s="140">
        <f ca="1"/>
        <v>0.13097529776195305</v>
      </c>
      <c r="AI221" s="137"/>
      <c r="AK221" s="137"/>
      <c r="AM221" s="137"/>
      <c r="AN221" s="137"/>
      <c r="AO221" s="137"/>
      <c r="AR221" s="137"/>
      <c r="AT221" s="137"/>
      <c r="AV221" s="137"/>
      <c r="AW221" s="137"/>
      <c r="AX221" s="137"/>
    </row>
    <row r="222" spans="1:50" s="79" customFormat="1" ht="10.199999999999999" x14ac:dyDescent="0.2">
      <c r="A222" s="97">
        <f t="shared" ca="1" si="5"/>
        <v>211</v>
      </c>
      <c r="B222" s="68" t="s">
        <v>299</v>
      </c>
      <c r="C222" s="98">
        <v>0.4</v>
      </c>
      <c r="D222" s="69" t="s">
        <v>67</v>
      </c>
      <c r="E222" s="138" t="s">
        <v>87</v>
      </c>
      <c r="F222" s="158" t="s">
        <v>87</v>
      </c>
      <c r="G222" s="158">
        <v>9.6699999999999998E-4</v>
      </c>
      <c r="H222" s="158" t="s">
        <v>87</v>
      </c>
      <c r="I222" s="158">
        <v>2.1649999999999998E-3</v>
      </c>
      <c r="J222" s="158" t="s">
        <v>87</v>
      </c>
      <c r="K222" s="158">
        <v>2.7989999999999998E-3</v>
      </c>
      <c r="L222" s="158">
        <v>3.643E-3</v>
      </c>
      <c r="M222" s="158">
        <v>4.594E-3</v>
      </c>
      <c r="N222" s="139" cm="1">
        <f t="array" aca="1" ref="N222:AE222" ca="1">IF(OR(B222="",NOT($J$2)),"",GetStripDefaultProbability(A222,B222,Parameter_Date,CDSRollDate,E222:M222,SpreadCurveMaturities,D222,C222,$J$4,$J$6))</f>
        <v>0</v>
      </c>
      <c r="O222" s="165">
        <f ca="1"/>
        <v>0</v>
      </c>
      <c r="P222" s="165">
        <f ca="1"/>
        <v>1.7054226442938525E-3</v>
      </c>
      <c r="Q222" s="165">
        <f ca="1"/>
        <v>0</v>
      </c>
      <c r="R222" s="165">
        <f ca="1"/>
        <v>1.1183425405788872E-2</v>
      </c>
      <c r="S222" s="165">
        <f ca="1"/>
        <v>0</v>
      </c>
      <c r="T222" s="165">
        <f ca="1"/>
        <v>2.4056644775907632E-2</v>
      </c>
      <c r="U222" s="165">
        <f ca="1"/>
        <v>4.4305885469375306E-2</v>
      </c>
      <c r="V222" s="140">
        <f ca="1"/>
        <v>8.0399928054631697E-2</v>
      </c>
      <c r="W222" s="139">
        <f ca="1"/>
        <v>0</v>
      </c>
      <c r="X222" s="165">
        <f ca="1"/>
        <v>0</v>
      </c>
      <c r="Y222" s="165">
        <f ca="1"/>
        <v>1.8717912094193823E-3</v>
      </c>
      <c r="Z222" s="165">
        <f ca="1"/>
        <v>0</v>
      </c>
      <c r="AA222" s="165">
        <f ca="1"/>
        <v>1.1718477565236252E-2</v>
      </c>
      <c r="AB222" s="165">
        <f ca="1"/>
        <v>0</v>
      </c>
      <c r="AC222" s="165">
        <f ca="1"/>
        <v>2.5241268017440976E-2</v>
      </c>
      <c r="AD222" s="165">
        <f ca="1"/>
        <v>4.647455747835294E-2</v>
      </c>
      <c r="AE222" s="140">
        <f ca="1"/>
        <v>8.4269980036214442E-2</v>
      </c>
      <c r="AI222" s="137"/>
      <c r="AK222" s="137"/>
      <c r="AM222" s="137"/>
      <c r="AN222" s="137"/>
      <c r="AO222" s="137"/>
      <c r="AR222" s="137"/>
      <c r="AT222" s="137"/>
      <c r="AV222" s="137"/>
      <c r="AW222" s="137"/>
      <c r="AX222" s="137"/>
    </row>
    <row r="223" spans="1:50" s="79" customFormat="1" ht="10.199999999999999" x14ac:dyDescent="0.2">
      <c r="A223" s="97">
        <f t="shared" ca="1" si="5"/>
        <v>212</v>
      </c>
      <c r="B223" s="68" t="s">
        <v>300</v>
      </c>
      <c r="C223" s="98">
        <v>0.4</v>
      </c>
      <c r="D223" s="69" t="s">
        <v>67</v>
      </c>
      <c r="E223" s="138" t="s">
        <v>87</v>
      </c>
      <c r="F223" s="158" t="s">
        <v>87</v>
      </c>
      <c r="G223" s="158">
        <v>5.0900000000000001E-4</v>
      </c>
      <c r="H223" s="158" t="s">
        <v>87</v>
      </c>
      <c r="I223" s="158">
        <v>1.818E-3</v>
      </c>
      <c r="J223" s="158" t="s">
        <v>87</v>
      </c>
      <c r="K223" s="158">
        <v>2.7499999999999998E-3</v>
      </c>
      <c r="L223" s="158">
        <v>3.4499999999999999E-3</v>
      </c>
      <c r="M223" s="158">
        <v>4.45E-3</v>
      </c>
      <c r="N223" s="139" cm="1">
        <f t="array" aca="1" ref="N223:AE223" ca="1">IF(OR(B223="",NOT($J$2)),"",GetStripDefaultProbability(A223,B223,Parameter_Date,CDSRollDate,E223:M223,SpreadCurveMaturities,D223,C223,$J$4,$J$6))</f>
        <v>0</v>
      </c>
      <c r="O223" s="165">
        <f ca="1"/>
        <v>0</v>
      </c>
      <c r="P223" s="165">
        <f ca="1"/>
        <v>8.9804386842862183E-4</v>
      </c>
      <c r="Q223" s="165">
        <f ca="1"/>
        <v>0</v>
      </c>
      <c r="R223" s="165">
        <f ca="1"/>
        <v>9.4371306991108961E-3</v>
      </c>
      <c r="S223" s="165">
        <f ca="1"/>
        <v>0</v>
      </c>
      <c r="T223" s="165">
        <f ca="1"/>
        <v>2.3872256312090445E-2</v>
      </c>
      <c r="U223" s="165">
        <f ca="1"/>
        <v>4.2075550906881309E-2</v>
      </c>
      <c r="V223" s="140">
        <f ca="1"/>
        <v>7.8294909801419732E-2</v>
      </c>
      <c r="W223" s="139">
        <f ca="1"/>
        <v>0</v>
      </c>
      <c r="X223" s="165">
        <f ca="1"/>
        <v>0</v>
      </c>
      <c r="Y223" s="165">
        <f ca="1"/>
        <v>1.0645469854562162E-3</v>
      </c>
      <c r="Z223" s="165">
        <f ca="1"/>
        <v>0</v>
      </c>
      <c r="AA223" s="165">
        <f ca="1"/>
        <v>9.9322883340022816E-3</v>
      </c>
      <c r="AB223" s="165">
        <f ca="1"/>
        <v>0</v>
      </c>
      <c r="AC223" s="165">
        <f ca="1"/>
        <v>2.5040191383272181E-2</v>
      </c>
      <c r="AD223" s="165">
        <f ca="1"/>
        <v>4.4129361029206504E-2</v>
      </c>
      <c r="AE223" s="140">
        <f ca="1"/>
        <v>8.206011786117029E-2</v>
      </c>
      <c r="AI223" s="137"/>
      <c r="AK223" s="137"/>
      <c r="AM223" s="137"/>
      <c r="AN223" s="137"/>
      <c r="AO223" s="137"/>
      <c r="AR223" s="137"/>
      <c r="AT223" s="137"/>
      <c r="AV223" s="137"/>
      <c r="AW223" s="137"/>
      <c r="AX223" s="137"/>
    </row>
    <row r="224" spans="1:50" s="79" customFormat="1" ht="10.199999999999999" x14ac:dyDescent="0.2">
      <c r="A224" s="97">
        <f t="shared" ca="1" si="5"/>
        <v>213</v>
      </c>
      <c r="B224" s="68" t="s">
        <v>301</v>
      </c>
      <c r="C224" s="98">
        <v>0.4</v>
      </c>
      <c r="D224" s="69" t="s">
        <v>67</v>
      </c>
      <c r="E224" s="138" t="s">
        <v>87</v>
      </c>
      <c r="F224" s="158" t="s">
        <v>87</v>
      </c>
      <c r="G224" s="158">
        <v>3.7399999999999998E-4</v>
      </c>
      <c r="H224" s="158" t="s">
        <v>87</v>
      </c>
      <c r="I224" s="158">
        <v>1.689E-3</v>
      </c>
      <c r="J224" s="158" t="s">
        <v>87</v>
      </c>
      <c r="K224" s="158">
        <v>2.6540000000000001E-3</v>
      </c>
      <c r="L224" s="158">
        <v>3.8119999999999999E-3</v>
      </c>
      <c r="M224" s="158">
        <v>5.0660000000000002E-3</v>
      </c>
      <c r="N224" s="139" cm="1">
        <f t="array" aca="1" ref="N224:AE224" ca="1">IF(OR(B224="",NOT($J$2)),"",GetStripDefaultProbability(A224,B224,Parameter_Date,CDSRollDate,E224:M224,SpreadCurveMaturities,D224,C224,$J$4,$J$6))</f>
        <v>0</v>
      </c>
      <c r="O224" s="165">
        <f ca="1"/>
        <v>0</v>
      </c>
      <c r="P224" s="165">
        <f ca="1"/>
        <v>6.5993739455927347E-4</v>
      </c>
      <c r="Q224" s="165">
        <f ca="1"/>
        <v>0</v>
      </c>
      <c r="R224" s="165">
        <f ca="1"/>
        <v>8.782479457400072E-3</v>
      </c>
      <c r="S224" s="165">
        <f ca="1"/>
        <v>0</v>
      </c>
      <c r="T224" s="165">
        <f ca="1"/>
        <v>2.3098166972554846E-2</v>
      </c>
      <c r="U224" s="165">
        <f ca="1"/>
        <v>4.704220458508912E-2</v>
      </c>
      <c r="V224" s="140">
        <f ca="1"/>
        <v>8.9781561619987293E-2</v>
      </c>
      <c r="W224" s="139">
        <f ca="1"/>
        <v>0</v>
      </c>
      <c r="X224" s="165">
        <f ca="1"/>
        <v>0</v>
      </c>
      <c r="Y224" s="165">
        <f ca="1"/>
        <v>8.2648019269382367E-4</v>
      </c>
      <c r="Z224" s="165">
        <f ca="1"/>
        <v>0</v>
      </c>
      <c r="AA224" s="165">
        <f ca="1"/>
        <v>9.2779643361214914E-3</v>
      </c>
      <c r="AB224" s="165">
        <f ca="1"/>
        <v>0</v>
      </c>
      <c r="AC224" s="165">
        <f ca="1"/>
        <v>2.422388411642884E-2</v>
      </c>
      <c r="AD224" s="165">
        <f ca="1"/>
        <v>4.9332606691680492E-2</v>
      </c>
      <c r="AE224" s="140">
        <f ca="1"/>
        <v>9.4110738282527695E-2</v>
      </c>
      <c r="AI224" s="137"/>
      <c r="AK224" s="137"/>
      <c r="AM224" s="137"/>
      <c r="AN224" s="137"/>
      <c r="AO224" s="137"/>
      <c r="AR224" s="137"/>
      <c r="AT224" s="137"/>
      <c r="AV224" s="137"/>
      <c r="AW224" s="137"/>
      <c r="AX224" s="137"/>
    </row>
    <row r="225" spans="1:50" s="79" customFormat="1" ht="10.199999999999999" x14ac:dyDescent="0.2">
      <c r="A225" s="97">
        <f t="shared" ca="1" si="5"/>
        <v>214</v>
      </c>
      <c r="B225" s="68" t="s">
        <v>302</v>
      </c>
      <c r="C225" s="98">
        <v>0.4</v>
      </c>
      <c r="D225" s="69" t="s">
        <v>67</v>
      </c>
      <c r="E225" s="138" t="s">
        <v>87</v>
      </c>
      <c r="F225" s="158" t="s">
        <v>87</v>
      </c>
      <c r="G225" s="158">
        <v>6.2200000000000005E-4</v>
      </c>
      <c r="H225" s="158" t="s">
        <v>87</v>
      </c>
      <c r="I225" s="158">
        <v>2.343E-3</v>
      </c>
      <c r="J225" s="158" t="s">
        <v>87</v>
      </c>
      <c r="K225" s="158">
        <v>3.2330000000000002E-3</v>
      </c>
      <c r="L225" s="158">
        <v>4.2170000000000003E-3</v>
      </c>
      <c r="M225" s="158">
        <v>5.1539999999999997E-3</v>
      </c>
      <c r="N225" s="139" cm="1">
        <f t="array" aca="1" ref="N225:AE225" ca="1">IF(OR(B225="",NOT($J$2)),"",GetStripDefaultProbability(A225,B225,Parameter_Date,CDSRollDate,E225:M225,SpreadCurveMaturities,D225,C225,$J$4,$J$6))</f>
        <v>0</v>
      </c>
      <c r="O225" s="165">
        <f ca="1"/>
        <v>0</v>
      </c>
      <c r="P225" s="165">
        <f ca="1"/>
        <v>1.0973045090061362E-3</v>
      </c>
      <c r="Q225" s="165">
        <f ca="1"/>
        <v>0</v>
      </c>
      <c r="R225" s="165">
        <f ca="1"/>
        <v>1.2154778575023339E-2</v>
      </c>
      <c r="S225" s="165">
        <f ca="1"/>
        <v>0</v>
      </c>
      <c r="T225" s="165">
        <f ca="1"/>
        <v>2.7902518072831728E-2</v>
      </c>
      <c r="U225" s="165">
        <f ca="1"/>
        <v>5.132676119617019E-2</v>
      </c>
      <c r="V225" s="140">
        <f ca="1"/>
        <v>8.9616371833947661E-2</v>
      </c>
      <c r="W225" s="139">
        <f ca="1"/>
        <v>0</v>
      </c>
      <c r="X225" s="165">
        <f ca="1"/>
        <v>0</v>
      </c>
      <c r="Y225" s="165">
        <f ca="1"/>
        <v>1.2637744187210531E-3</v>
      </c>
      <c r="Z225" s="165">
        <f ca="1"/>
        <v>0</v>
      </c>
      <c r="AA225" s="165">
        <f ca="1"/>
        <v>1.2733239480220981E-2</v>
      </c>
      <c r="AB225" s="165">
        <f ca="1"/>
        <v>0</v>
      </c>
      <c r="AC225" s="165">
        <f ca="1"/>
        <v>2.9273203054754671E-2</v>
      </c>
      <c r="AD225" s="165">
        <f ca="1"/>
        <v>5.3831029244169493E-2</v>
      </c>
      <c r="AE225" s="140">
        <f ca="1"/>
        <v>9.3909438828905012E-2</v>
      </c>
      <c r="AI225" s="137"/>
      <c r="AK225" s="137"/>
      <c r="AM225" s="137"/>
      <c r="AN225" s="137"/>
      <c r="AO225" s="137"/>
      <c r="AR225" s="137"/>
      <c r="AT225" s="137"/>
      <c r="AV225" s="137"/>
      <c r="AW225" s="137"/>
      <c r="AX225" s="137"/>
    </row>
    <row r="226" spans="1:50" s="79" customFormat="1" ht="10.199999999999999" x14ac:dyDescent="0.2">
      <c r="A226" s="97">
        <f t="shared" ca="1" si="5"/>
        <v>215</v>
      </c>
      <c r="B226" s="68" t="s">
        <v>303</v>
      </c>
      <c r="C226" s="98">
        <v>0.4</v>
      </c>
      <c r="D226" s="69" t="s">
        <v>67</v>
      </c>
      <c r="E226" s="138" t="s">
        <v>87</v>
      </c>
      <c r="F226" s="158" t="s">
        <v>87</v>
      </c>
      <c r="G226" s="158">
        <v>7.2400000000000003E-4</v>
      </c>
      <c r="H226" s="158" t="s">
        <v>87</v>
      </c>
      <c r="I226" s="158">
        <v>1.5920000000000001E-3</v>
      </c>
      <c r="J226" s="158" t="s">
        <v>87</v>
      </c>
      <c r="K226" s="158">
        <v>2.5569999999999998E-3</v>
      </c>
      <c r="L226" s="158">
        <v>2.97E-3</v>
      </c>
      <c r="M226" s="158">
        <v>4.0010000000000002E-3</v>
      </c>
      <c r="N226" s="139" cm="1">
        <f t="array" aca="1" ref="N226:AE226" ca="1">IF(OR(B226="",NOT($J$2)),"",GetStripDefaultProbability(A226,B226,Parameter_Date,CDSRollDate,E226:M226,SpreadCurveMaturities,D226,C226,$J$4,$J$6))</f>
        <v>0</v>
      </c>
      <c r="O226" s="165">
        <f ca="1"/>
        <v>0</v>
      </c>
      <c r="P226" s="165">
        <f ca="1"/>
        <v>1.2771342247767103E-3</v>
      </c>
      <c r="Q226" s="165">
        <f ca="1"/>
        <v>0</v>
      </c>
      <c r="R226" s="165">
        <f ca="1"/>
        <v>8.2315347555670382E-3</v>
      </c>
      <c r="S226" s="165">
        <f ca="1"/>
        <v>0</v>
      </c>
      <c r="T226" s="165">
        <f ca="1"/>
        <v>2.2231980244294292E-2</v>
      </c>
      <c r="U226" s="165">
        <f ca="1"/>
        <v>3.6044154132440109E-2</v>
      </c>
      <c r="V226" s="140">
        <f ca="1"/>
        <v>7.0765222021280105E-2</v>
      </c>
      <c r="W226" s="139">
        <f ca="1"/>
        <v>0</v>
      </c>
      <c r="X226" s="165">
        <f ca="1"/>
        <v>0</v>
      </c>
      <c r="Y226" s="165">
        <f ca="1"/>
        <v>1.4435741653678891E-3</v>
      </c>
      <c r="Z226" s="165">
        <f ca="1"/>
        <v>0</v>
      </c>
      <c r="AA226" s="165">
        <f ca="1"/>
        <v>8.727295037779137E-3</v>
      </c>
      <c r="AB226" s="165">
        <f ca="1"/>
        <v>0</v>
      </c>
      <c r="AC226" s="165">
        <f ca="1"/>
        <v>2.3314707790414557E-2</v>
      </c>
      <c r="AD226" s="165">
        <f ca="1"/>
        <v>3.7800778675304625E-2</v>
      </c>
      <c r="AE226" s="140">
        <f ca="1"/>
        <v>7.4173318109216013E-2</v>
      </c>
      <c r="AI226" s="137"/>
      <c r="AK226" s="137"/>
      <c r="AM226" s="137"/>
      <c r="AN226" s="137"/>
      <c r="AO226" s="137"/>
      <c r="AR226" s="137"/>
      <c r="AT226" s="137"/>
      <c r="AV226" s="137"/>
      <c r="AW226" s="137"/>
      <c r="AX226" s="137"/>
    </row>
    <row r="227" spans="1:50" s="79" customFormat="1" ht="10.199999999999999" x14ac:dyDescent="0.2">
      <c r="A227" s="97">
        <f t="shared" ca="1" si="5"/>
        <v>216</v>
      </c>
      <c r="B227" s="68" t="s">
        <v>304</v>
      </c>
      <c r="C227" s="98">
        <v>0.4</v>
      </c>
      <c r="D227" s="69" t="s">
        <v>67</v>
      </c>
      <c r="E227" s="138" t="s">
        <v>87</v>
      </c>
      <c r="F227" s="158" t="s">
        <v>87</v>
      </c>
      <c r="G227" s="158">
        <v>4.4999999999999999E-4</v>
      </c>
      <c r="H227" s="158" t="s">
        <v>87</v>
      </c>
      <c r="I227" s="158">
        <v>1.158E-3</v>
      </c>
      <c r="J227" s="158" t="s">
        <v>87</v>
      </c>
      <c r="K227" s="158">
        <v>2.0270000000000002E-3</v>
      </c>
      <c r="L227" s="158">
        <v>2.6540000000000001E-3</v>
      </c>
      <c r="M227" s="158">
        <v>3.571E-3</v>
      </c>
      <c r="N227" s="139" cm="1">
        <f t="array" aca="1" ref="N227:AE227" ca="1">IF(OR(B227="",NOT($J$2)),"",GetStripDefaultProbability(A227,B227,Parameter_Date,CDSRollDate,E227:M227,SpreadCurveMaturities,D227,C227,$J$4,$J$6))</f>
        <v>0</v>
      </c>
      <c r="O227" s="165">
        <f ca="1"/>
        <v>0</v>
      </c>
      <c r="P227" s="165">
        <f ca="1"/>
        <v>7.9398944939701455E-4</v>
      </c>
      <c r="Q227" s="165">
        <f ca="1"/>
        <v>0</v>
      </c>
      <c r="R227" s="165">
        <f ca="1"/>
        <v>6.0026150641299125E-3</v>
      </c>
      <c r="S227" s="165">
        <f ca="1"/>
        <v>0</v>
      </c>
      <c r="T227" s="165">
        <f ca="1"/>
        <v>1.7726094900488931E-2</v>
      </c>
      <c r="U227" s="165">
        <f ca="1"/>
        <v>3.2700591702681803E-2</v>
      </c>
      <c r="V227" s="140">
        <f ca="1"/>
        <v>6.3766644530592886E-2</v>
      </c>
      <c r="W227" s="139">
        <f ca="1"/>
        <v>0</v>
      </c>
      <c r="X227" s="165">
        <f ca="1"/>
        <v>0</v>
      </c>
      <c r="Y227" s="165">
        <f ca="1"/>
        <v>9.6050990741514131E-4</v>
      </c>
      <c r="Z227" s="165">
        <f ca="1"/>
        <v>0</v>
      </c>
      <c r="AA227" s="165">
        <f ca="1"/>
        <v>6.4994895276312414E-3</v>
      </c>
      <c r="AB227" s="165">
        <f ca="1"/>
        <v>0</v>
      </c>
      <c r="AC227" s="165">
        <f ca="1"/>
        <v>1.8555356829835112E-2</v>
      </c>
      <c r="AD227" s="165">
        <f ca="1"/>
        <v>3.4284753803254242E-2</v>
      </c>
      <c r="AE227" s="140">
        <f ca="1"/>
        <v>6.6837563720866577E-2</v>
      </c>
      <c r="AI227" s="137"/>
      <c r="AK227" s="137"/>
      <c r="AM227" s="137"/>
      <c r="AN227" s="137"/>
      <c r="AO227" s="137"/>
      <c r="AR227" s="137"/>
      <c r="AT227" s="137"/>
      <c r="AV227" s="137"/>
      <c r="AW227" s="137"/>
      <c r="AX227" s="137"/>
    </row>
    <row r="228" spans="1:50" s="79" customFormat="1" ht="10.199999999999999" x14ac:dyDescent="0.2">
      <c r="A228" s="97">
        <f t="shared" ca="1" si="5"/>
        <v>217</v>
      </c>
      <c r="B228" s="68" t="s">
        <v>305</v>
      </c>
      <c r="C228" s="98">
        <v>0.4</v>
      </c>
      <c r="D228" s="69" t="s">
        <v>67</v>
      </c>
      <c r="E228" s="138" t="s">
        <v>87</v>
      </c>
      <c r="F228" s="158" t="s">
        <v>87</v>
      </c>
      <c r="G228" s="158">
        <v>5.31E-4</v>
      </c>
      <c r="H228" s="158" t="s">
        <v>87</v>
      </c>
      <c r="I228" s="158">
        <v>1.6410000000000001E-3</v>
      </c>
      <c r="J228" s="158" t="s">
        <v>87</v>
      </c>
      <c r="K228" s="158">
        <v>2.6540000000000001E-3</v>
      </c>
      <c r="L228" s="158">
        <v>3.764E-3</v>
      </c>
      <c r="M228" s="158">
        <v>4.8250000000000003E-3</v>
      </c>
      <c r="N228" s="139" cm="1">
        <f t="array" aca="1" ref="N228:AE228" ca="1">IF(OR(B228="",NOT($J$2)),"",GetStripDefaultProbability(A228,B228,Parameter_Date,CDSRollDate,E228:M228,SpreadCurveMaturities,D228,C228,$J$4,$J$6))</f>
        <v>0</v>
      </c>
      <c r="O228" s="165">
        <f ca="1"/>
        <v>0</v>
      </c>
      <c r="P228" s="165">
        <f ca="1"/>
        <v>9.3684106812486068E-4</v>
      </c>
      <c r="Q228" s="165">
        <f ca="1"/>
        <v>0</v>
      </c>
      <c r="R228" s="165">
        <f ca="1"/>
        <v>8.5119248183948004E-3</v>
      </c>
      <c r="S228" s="165">
        <f ca="1"/>
        <v>0</v>
      </c>
      <c r="T228" s="165">
        <f ca="1"/>
        <v>2.3104237010584949E-2</v>
      </c>
      <c r="U228" s="165">
        <f ca="1"/>
        <v>4.6415858452354852E-2</v>
      </c>
      <c r="V228" s="140">
        <f ca="1"/>
        <v>8.5196620707809423E-2</v>
      </c>
      <c r="W228" s="139">
        <f ca="1"/>
        <v>0</v>
      </c>
      <c r="X228" s="165">
        <f ca="1"/>
        <v>0</v>
      </c>
      <c r="Y228" s="165">
        <f ca="1"/>
        <v>1.1033377195059924E-3</v>
      </c>
      <c r="Z228" s="165">
        <f ca="1"/>
        <v>0</v>
      </c>
      <c r="AA228" s="165">
        <f ca="1"/>
        <v>9.0075449406408215E-3</v>
      </c>
      <c r="AB228" s="165">
        <f ca="1"/>
        <v>0</v>
      </c>
      <c r="AC228" s="165">
        <f ca="1"/>
        <v>2.4229889411714112E-2</v>
      </c>
      <c r="AD228" s="165">
        <f ca="1"/>
        <v>4.8675716897522592E-2</v>
      </c>
      <c r="AE228" s="140">
        <f ca="1"/>
        <v>8.9281257302702421E-2</v>
      </c>
      <c r="AI228" s="137"/>
      <c r="AK228" s="137"/>
      <c r="AM228" s="137"/>
      <c r="AN228" s="137"/>
      <c r="AO228" s="137"/>
      <c r="AR228" s="137"/>
      <c r="AT228" s="137"/>
      <c r="AV228" s="137"/>
      <c r="AW228" s="137"/>
      <c r="AX228" s="137"/>
    </row>
    <row r="229" spans="1:50" s="79" customFormat="1" ht="10.199999999999999" x14ac:dyDescent="0.2">
      <c r="A229" s="97">
        <f t="shared" ca="1" si="5"/>
        <v>218</v>
      </c>
      <c r="B229" s="68" t="s">
        <v>306</v>
      </c>
      <c r="C229" s="98">
        <v>0.4</v>
      </c>
      <c r="D229" s="69" t="s">
        <v>67</v>
      </c>
      <c r="E229" s="138" t="s">
        <v>87</v>
      </c>
      <c r="F229" s="158" t="s">
        <v>87</v>
      </c>
      <c r="G229" s="158">
        <v>1.544E-3</v>
      </c>
      <c r="H229" s="158" t="s">
        <v>87</v>
      </c>
      <c r="I229" s="158">
        <v>2.2200000000000002E-3</v>
      </c>
      <c r="J229" s="158" t="s">
        <v>87</v>
      </c>
      <c r="K229" s="158">
        <v>2.9919999999999999E-3</v>
      </c>
      <c r="L229" s="158">
        <v>3.9569999999999996E-3</v>
      </c>
      <c r="M229" s="158">
        <v>5.2110000000000004E-3</v>
      </c>
      <c r="N229" s="139" cm="1">
        <f t="array" aca="1" ref="N229:AE229" ca="1">IF(OR(B229="",NOT($J$2)),"",GetStripDefaultProbability(A229,B229,Parameter_Date,CDSRollDate,E229:M229,SpreadCurveMaturities,D229,C229,$J$4,$J$6))</f>
        <v>0</v>
      </c>
      <c r="O229" s="165">
        <f ca="1"/>
        <v>0</v>
      </c>
      <c r="P229" s="165">
        <f ca="1"/>
        <v>2.7216574368458257E-3</v>
      </c>
      <c r="Q229" s="165">
        <f ca="1"/>
        <v>0</v>
      </c>
      <c r="R229" s="165">
        <f ca="1"/>
        <v>1.139333911307161E-2</v>
      </c>
      <c r="S229" s="165">
        <f ca="1"/>
        <v>0</v>
      </c>
      <c r="T229" s="165">
        <f ca="1"/>
        <v>2.5683474045673615E-2</v>
      </c>
      <c r="U229" s="165">
        <f ca="1"/>
        <v>4.811790806328009E-2</v>
      </c>
      <c r="V229" s="140">
        <f ca="1"/>
        <v>9.1462090657627892E-2</v>
      </c>
      <c r="W229" s="139">
        <f ca="1"/>
        <v>0</v>
      </c>
      <c r="X229" s="165">
        <f ca="1"/>
        <v>0</v>
      </c>
      <c r="Y229" s="165">
        <f ca="1"/>
        <v>2.8878566436124631E-3</v>
      </c>
      <c r="Z229" s="165">
        <f ca="1"/>
        <v>0</v>
      </c>
      <c r="AA229" s="165">
        <f ca="1"/>
        <v>1.1941863580229195E-2</v>
      </c>
      <c r="AB229" s="165">
        <f ca="1"/>
        <v>0</v>
      </c>
      <c r="AC229" s="165">
        <f ca="1"/>
        <v>2.6951165958712942E-2</v>
      </c>
      <c r="AD229" s="165">
        <f ca="1"/>
        <v>5.047370382694949E-2</v>
      </c>
      <c r="AE229" s="140">
        <f ca="1"/>
        <v>9.5880186905782261E-2</v>
      </c>
      <c r="AI229" s="137"/>
      <c r="AK229" s="137"/>
      <c r="AM229" s="137"/>
      <c r="AN229" s="137"/>
      <c r="AO229" s="137"/>
      <c r="AR229" s="137"/>
      <c r="AT229" s="137"/>
      <c r="AV229" s="137"/>
      <c r="AW229" s="137"/>
      <c r="AX229" s="137"/>
    </row>
    <row r="230" spans="1:50" s="79" customFormat="1" ht="10.199999999999999" x14ac:dyDescent="0.2">
      <c r="A230" s="97">
        <f t="shared" ca="1" si="5"/>
        <v>219</v>
      </c>
      <c r="B230" s="68" t="s">
        <v>307</v>
      </c>
      <c r="C230" s="98">
        <v>0.4</v>
      </c>
      <c r="D230" s="69" t="s">
        <v>67</v>
      </c>
      <c r="E230" s="138" t="s">
        <v>87</v>
      </c>
      <c r="F230" s="158" t="s">
        <v>87</v>
      </c>
      <c r="G230" s="158">
        <v>9.8799999999999995E-4</v>
      </c>
      <c r="H230" s="158" t="s">
        <v>87</v>
      </c>
      <c r="I230" s="158">
        <v>2.0430000000000001E-3</v>
      </c>
      <c r="J230" s="158" t="s">
        <v>87</v>
      </c>
      <c r="K230" s="158">
        <v>3.0400000000000002E-3</v>
      </c>
      <c r="L230" s="158">
        <v>3.9370000000000004E-3</v>
      </c>
      <c r="M230" s="158">
        <v>4.9329999999999999E-3</v>
      </c>
      <c r="N230" s="139" cm="1">
        <f t="array" aca="1" ref="N230:AE230" ca="1">IF(OR(B230="",NOT($J$2)),"",GetStripDefaultProbability(A230,B230,Parameter_Date,CDSRollDate,E230:M230,SpreadCurveMaturities,D230,C230,$J$4,$J$6))</f>
        <v>0</v>
      </c>
      <c r="O230" s="165">
        <f ca="1"/>
        <v>0</v>
      </c>
      <c r="P230" s="165">
        <f ca="1"/>
        <v>1.7424266671043354E-3</v>
      </c>
      <c r="Q230" s="165">
        <f ca="1"/>
        <v>0</v>
      </c>
      <c r="R230" s="165">
        <f ca="1"/>
        <v>1.0545952673529535E-2</v>
      </c>
      <c r="S230" s="165">
        <f ca="1"/>
        <v>0</v>
      </c>
      <c r="T230" s="165">
        <f ca="1"/>
        <v>2.6289891979969227E-2</v>
      </c>
      <c r="U230" s="165">
        <f ca="1"/>
        <v>4.7981079295134621E-2</v>
      </c>
      <c r="V230" s="140">
        <f ca="1"/>
        <v>8.6227186668140665E-2</v>
      </c>
      <c r="W230" s="139">
        <f ca="1"/>
        <v>0</v>
      </c>
      <c r="X230" s="165">
        <f ca="1"/>
        <v>0</v>
      </c>
      <c r="Y230" s="165">
        <f ca="1"/>
        <v>1.9087890654225781E-3</v>
      </c>
      <c r="Z230" s="165">
        <f ca="1"/>
        <v>0</v>
      </c>
      <c r="AA230" s="165">
        <f ca="1"/>
        <v>1.1051187292893894E-2</v>
      </c>
      <c r="AB230" s="165">
        <f ca="1"/>
        <v>0</v>
      </c>
      <c r="AC230" s="165">
        <f ca="1"/>
        <v>2.7583930594797801E-2</v>
      </c>
      <c r="AD230" s="165">
        <f ca="1"/>
        <v>5.0327373519987284E-2</v>
      </c>
      <c r="AE230" s="140">
        <f ca="1"/>
        <v>9.0367549515765089E-2</v>
      </c>
      <c r="AI230" s="137"/>
      <c r="AK230" s="137"/>
      <c r="AM230" s="137"/>
      <c r="AN230" s="137"/>
      <c r="AO230" s="137"/>
      <c r="AR230" s="137"/>
      <c r="AT230" s="137"/>
      <c r="AV230" s="137"/>
      <c r="AW230" s="137"/>
      <c r="AX230" s="137"/>
    </row>
    <row r="231" spans="1:50" s="79" customFormat="1" ht="10.199999999999999" x14ac:dyDescent="0.2">
      <c r="A231" s="97">
        <f t="shared" ca="1" si="5"/>
        <v>220</v>
      </c>
      <c r="B231" s="68" t="s">
        <v>308</v>
      </c>
      <c r="C231" s="98">
        <v>0.4</v>
      </c>
      <c r="D231" s="69" t="s">
        <v>67</v>
      </c>
      <c r="E231" s="138" t="s">
        <v>87</v>
      </c>
      <c r="F231" s="158" t="s">
        <v>87</v>
      </c>
      <c r="G231" s="158">
        <v>3.7787000000000001E-2</v>
      </c>
      <c r="H231" s="158" t="s">
        <v>87</v>
      </c>
      <c r="I231" s="158">
        <v>3.7137000000000003E-2</v>
      </c>
      <c r="J231" s="158" t="s">
        <v>87</v>
      </c>
      <c r="K231" s="158">
        <v>3.2376000000000002E-2</v>
      </c>
      <c r="L231" s="158">
        <v>2.9519E-2</v>
      </c>
      <c r="M231" s="158">
        <v>2.8091000000000001E-2</v>
      </c>
      <c r="N231" s="139" cm="1">
        <f t="array" aca="1" ref="N231:AE231" ca="1">IF(OR(B231="",NOT($J$2)),"",GetStripDefaultProbability(A231,B231,Parameter_Date,CDSRollDate,E231:M231,SpreadCurveMaturities,D231,C231,$J$4,$J$6))</f>
        <v>0</v>
      </c>
      <c r="O231" s="165">
        <f ca="1"/>
        <v>0</v>
      </c>
      <c r="P231" s="165">
        <f ca="1"/>
        <v>6.4521128255525917E-2</v>
      </c>
      <c r="Q231" s="165">
        <f ca="1"/>
        <v>0</v>
      </c>
      <c r="R231" s="165">
        <f ca="1"/>
        <v>0.1730149216425293</v>
      </c>
      <c r="S231" s="165">
        <f ca="1"/>
        <v>0</v>
      </c>
      <c r="T231" s="165">
        <f ca="1"/>
        <v>0.23456614799287301</v>
      </c>
      <c r="U231" s="165">
        <f ca="1"/>
        <v>0.28289112424234075</v>
      </c>
      <c r="V231" s="140">
        <f ca="1"/>
        <v>0.36049035163217746</v>
      </c>
      <c r="W231" s="139">
        <f ca="1"/>
        <v>0</v>
      </c>
      <c r="X231" s="165">
        <f ca="1"/>
        <v>0</v>
      </c>
      <c r="Y231" s="165">
        <f ca="1"/>
        <v>6.7635521325485337E-2</v>
      </c>
      <c r="Z231" s="165">
        <f ca="1"/>
        <v>0</v>
      </c>
      <c r="AA231" s="165">
        <f ca="1"/>
        <v>0.18082730283661552</v>
      </c>
      <c r="AB231" s="165">
        <f ca="1"/>
        <v>0</v>
      </c>
      <c r="AC231" s="165">
        <f ca="1"/>
        <v>0.2445553204674954</v>
      </c>
      <c r="AD231" s="165">
        <f ca="1"/>
        <v>0.29435813002225475</v>
      </c>
      <c r="AE231" s="140">
        <f ca="1"/>
        <v>0.37412897412287183</v>
      </c>
      <c r="AI231" s="137"/>
      <c r="AK231" s="137"/>
      <c r="AM231" s="137"/>
      <c r="AN231" s="137"/>
      <c r="AO231" s="137"/>
      <c r="AR231" s="137"/>
      <c r="AT231" s="137"/>
      <c r="AV231" s="137"/>
      <c r="AW231" s="137"/>
      <c r="AX231" s="137"/>
    </row>
    <row r="232" spans="1:50" s="79" customFormat="1" ht="10.199999999999999" x14ac:dyDescent="0.2">
      <c r="A232" s="97">
        <f t="shared" ca="1" si="5"/>
        <v>221</v>
      </c>
      <c r="B232" s="68" t="s">
        <v>309</v>
      </c>
      <c r="C232" s="98">
        <v>0.4</v>
      </c>
      <c r="D232" s="69" t="s">
        <v>67</v>
      </c>
      <c r="E232" s="138" t="s">
        <v>87</v>
      </c>
      <c r="F232" s="158" t="s">
        <v>87</v>
      </c>
      <c r="G232" s="158">
        <v>1.098E-3</v>
      </c>
      <c r="H232" s="158" t="s">
        <v>87</v>
      </c>
      <c r="I232" s="158">
        <v>2.1949999999999999E-3</v>
      </c>
      <c r="J232" s="158" t="s">
        <v>87</v>
      </c>
      <c r="K232" s="158">
        <v>4.3909999999999999E-3</v>
      </c>
      <c r="L232" s="158">
        <v>5.6239999999999997E-3</v>
      </c>
      <c r="M232" s="158">
        <v>6.9069999999999999E-3</v>
      </c>
      <c r="N232" s="139" cm="1">
        <f t="array" aca="1" ref="N232:AE232" ca="1">IF(OR(B232="",NOT($J$2)),"",GetStripDefaultProbability(A232,B232,Parameter_Date,CDSRollDate,E232:M232,SpreadCurveMaturities,D232,C232,$J$4,$J$6))</f>
        <v>0</v>
      </c>
      <c r="O232" s="165">
        <f ca="1"/>
        <v>0</v>
      </c>
      <c r="P232" s="165">
        <f ca="1"/>
        <v>1.9362350297207342E-3</v>
      </c>
      <c r="Q232" s="165">
        <f ca="1"/>
        <v>0</v>
      </c>
      <c r="R232" s="165">
        <f ca="1"/>
        <v>1.132218489622927E-2</v>
      </c>
      <c r="S232" s="165">
        <f ca="1"/>
        <v>0</v>
      </c>
      <c r="T232" s="165">
        <f ca="1"/>
        <v>3.830242703404807E-2</v>
      </c>
      <c r="U232" s="165">
        <f ca="1"/>
        <v>6.8463794783277798E-2</v>
      </c>
      <c r="V232" s="140">
        <f ca="1"/>
        <v>0.11923825254011489</v>
      </c>
      <c r="W232" s="139">
        <f ca="1"/>
        <v>0</v>
      </c>
      <c r="X232" s="165">
        <f ca="1"/>
        <v>0</v>
      </c>
      <c r="Y232" s="165">
        <f ca="1"/>
        <v>2.1025651293250514E-3</v>
      </c>
      <c r="Z232" s="165">
        <f ca="1"/>
        <v>0</v>
      </c>
      <c r="AA232" s="165">
        <f ca="1"/>
        <v>1.1864573015912372E-2</v>
      </c>
      <c r="AB232" s="165">
        <f ca="1"/>
        <v>0</v>
      </c>
      <c r="AC232" s="165">
        <f ca="1"/>
        <v>4.0181403940841576E-2</v>
      </c>
      <c r="AD232" s="165">
        <f ca="1"/>
        <v>7.1788974199283873E-2</v>
      </c>
      <c r="AE232" s="140">
        <f ca="1"/>
        <v>0.12492498430585486</v>
      </c>
      <c r="AI232" s="137"/>
      <c r="AK232" s="137"/>
      <c r="AM232" s="137"/>
      <c r="AN232" s="137"/>
      <c r="AO232" s="137"/>
      <c r="AR232" s="137"/>
      <c r="AT232" s="137"/>
      <c r="AV232" s="137"/>
      <c r="AW232" s="137"/>
      <c r="AX232" s="137"/>
    </row>
    <row r="233" spans="1:50" s="79" customFormat="1" ht="10.199999999999999" x14ac:dyDescent="0.2">
      <c r="A233" s="97">
        <f t="shared" ca="1" si="5"/>
        <v>222</v>
      </c>
      <c r="B233" s="68" t="s">
        <v>310</v>
      </c>
      <c r="C233" s="98">
        <v>0.4</v>
      </c>
      <c r="D233" s="69" t="s">
        <v>67</v>
      </c>
      <c r="E233" s="138" t="s">
        <v>87</v>
      </c>
      <c r="F233" s="158" t="s">
        <v>87</v>
      </c>
      <c r="G233" s="158">
        <v>0.128667</v>
      </c>
      <c r="H233" s="158" t="s">
        <v>87</v>
      </c>
      <c r="I233" s="158">
        <v>9.0311000000000002E-2</v>
      </c>
      <c r="J233" s="158" t="s">
        <v>87</v>
      </c>
      <c r="K233" s="158">
        <v>6.6102999999999995E-2</v>
      </c>
      <c r="L233" s="158">
        <v>6.0176E-2</v>
      </c>
      <c r="M233" s="158">
        <v>5.4705999999999998E-2</v>
      </c>
      <c r="N233" s="139" cm="1">
        <f t="array" aca="1" ref="N233:AE233" ca="1">IF(OR(B233="",NOT($J$2)),"",GetStripDefaultProbability(A233,B233,Parameter_Date,CDSRollDate,E233:M233,SpreadCurveMaturities,D233,C233,$J$4,$J$6))</f>
        <v>0</v>
      </c>
      <c r="O233" s="165">
        <f ca="1"/>
        <v>0</v>
      </c>
      <c r="P233" s="165">
        <f ca="1"/>
        <v>0.20315564489382631</v>
      </c>
      <c r="Q233" s="165">
        <f ca="1"/>
        <v>0</v>
      </c>
      <c r="R233" s="165">
        <f ca="1"/>
        <v>0.35595572953044285</v>
      </c>
      <c r="S233" s="165">
        <f ca="1"/>
        <v>0</v>
      </c>
      <c r="T233" s="165">
        <f ca="1"/>
        <v>0.38649024766075035</v>
      </c>
      <c r="U233" s="165">
        <f ca="1"/>
        <v>0.45945210006233261</v>
      </c>
      <c r="V233" s="140">
        <f ca="1"/>
        <v>0.53946718467367794</v>
      </c>
      <c r="W233" s="139">
        <f ca="1"/>
        <v>0</v>
      </c>
      <c r="X233" s="165">
        <f ca="1"/>
        <v>0</v>
      </c>
      <c r="Y233" s="165">
        <f ca="1"/>
        <v>0.21215202115424048</v>
      </c>
      <c r="Z233" s="165">
        <f ca="1"/>
        <v>0</v>
      </c>
      <c r="AA233" s="165">
        <f ca="1"/>
        <v>0.36933865375957253</v>
      </c>
      <c r="AB233" s="165">
        <f ca="1"/>
        <v>0</v>
      </c>
      <c r="AC233" s="165">
        <f ca="1"/>
        <v>0.39962894304488861</v>
      </c>
      <c r="AD233" s="165">
        <f ca="1"/>
        <v>0.47396491201086344</v>
      </c>
      <c r="AE233" s="140">
        <f ca="1"/>
        <v>0.554675778643414</v>
      </c>
      <c r="AI233" s="137"/>
      <c r="AK233" s="137"/>
      <c r="AM233" s="137"/>
      <c r="AN233" s="137"/>
      <c r="AO233" s="137"/>
      <c r="AR233" s="137"/>
      <c r="AT233" s="137"/>
      <c r="AV233" s="137"/>
      <c r="AW233" s="137"/>
      <c r="AX233" s="137"/>
    </row>
    <row r="234" spans="1:50" s="79" customFormat="1" ht="10.199999999999999" x14ac:dyDescent="0.2">
      <c r="A234" s="97">
        <f t="shared" ca="1" si="5"/>
        <v>223</v>
      </c>
      <c r="B234" s="68" t="s">
        <v>311</v>
      </c>
      <c r="C234" s="98">
        <v>0.4</v>
      </c>
      <c r="D234" s="69" t="s">
        <v>67</v>
      </c>
      <c r="E234" s="138" t="s">
        <v>87</v>
      </c>
      <c r="F234" s="158" t="s">
        <v>87</v>
      </c>
      <c r="G234" s="158">
        <v>5.6700000000000001E-4</v>
      </c>
      <c r="H234" s="158" t="s">
        <v>87</v>
      </c>
      <c r="I234" s="158">
        <v>1.255E-3</v>
      </c>
      <c r="J234" s="158" t="s">
        <v>87</v>
      </c>
      <c r="K234" s="158">
        <v>2.0270000000000002E-3</v>
      </c>
      <c r="L234" s="158">
        <v>2.7499999999999998E-3</v>
      </c>
      <c r="M234" s="158">
        <v>3.6670000000000001E-3</v>
      </c>
      <c r="N234" s="139" cm="1">
        <f t="array" aca="1" ref="N234:AE234" ca="1">IF(OR(B234="",NOT($J$2)),"",GetStripDefaultProbability(A234,B234,Parameter_Date,CDSRollDate,E234:M234,SpreadCurveMaturities,D234,C234,$J$4,$J$6))</f>
        <v>0</v>
      </c>
      <c r="O234" s="165">
        <f ca="1"/>
        <v>0</v>
      </c>
      <c r="P234" s="165">
        <f ca="1"/>
        <v>1.0003241691868281E-3</v>
      </c>
      <c r="Q234" s="165">
        <f ca="1"/>
        <v>0</v>
      </c>
      <c r="R234" s="165">
        <f ca="1"/>
        <v>6.4940268271357349E-3</v>
      </c>
      <c r="S234" s="165">
        <f ca="1"/>
        <v>0</v>
      </c>
      <c r="T234" s="165">
        <f ca="1"/>
        <v>1.7657310184023389E-2</v>
      </c>
      <c r="U234" s="165">
        <f ca="1"/>
        <v>3.390280918341837E-2</v>
      </c>
      <c r="V234" s="140">
        <f ca="1"/>
        <v>6.5398542161450246E-2</v>
      </c>
      <c r="W234" s="139">
        <f ca="1"/>
        <v>0</v>
      </c>
      <c r="X234" s="165">
        <f ca="1"/>
        <v>0</v>
      </c>
      <c r="Y234" s="165">
        <f ca="1"/>
        <v>1.1668102409295722E-3</v>
      </c>
      <c r="Z234" s="165">
        <f ca="1"/>
        <v>0</v>
      </c>
      <c r="AA234" s="165">
        <f ca="1"/>
        <v>6.9906556461909464E-3</v>
      </c>
      <c r="AB234" s="165">
        <f ca="1"/>
        <v>0</v>
      </c>
      <c r="AC234" s="165">
        <f ca="1"/>
        <v>1.8486630183217612E-2</v>
      </c>
      <c r="AD234" s="165">
        <f ca="1"/>
        <v>3.5548761532460227E-2</v>
      </c>
      <c r="AE234" s="140">
        <f ca="1"/>
        <v>6.8550008010365371E-2</v>
      </c>
      <c r="AI234" s="137"/>
      <c r="AK234" s="137"/>
      <c r="AM234" s="137"/>
      <c r="AN234" s="137"/>
      <c r="AO234" s="137"/>
      <c r="AR234" s="137"/>
      <c r="AT234" s="137"/>
      <c r="AV234" s="137"/>
      <c r="AW234" s="137"/>
      <c r="AX234" s="137"/>
    </row>
    <row r="235" spans="1:50" s="79" customFormat="1" ht="10.199999999999999" x14ac:dyDescent="0.2">
      <c r="A235" s="97">
        <f t="shared" ca="1" si="5"/>
        <v>224</v>
      </c>
      <c r="B235" s="68" t="s">
        <v>312</v>
      </c>
      <c r="C235" s="98">
        <v>0.4</v>
      </c>
      <c r="D235" s="69" t="s">
        <v>67</v>
      </c>
      <c r="E235" s="138" t="s">
        <v>87</v>
      </c>
      <c r="F235" s="158" t="s">
        <v>87</v>
      </c>
      <c r="G235" s="158">
        <v>7.6000000000000004E-4</v>
      </c>
      <c r="H235" s="158" t="s">
        <v>87</v>
      </c>
      <c r="I235" s="158">
        <v>2.075E-3</v>
      </c>
      <c r="J235" s="158" t="s">
        <v>87</v>
      </c>
      <c r="K235" s="158">
        <v>2.702E-3</v>
      </c>
      <c r="L235" s="158">
        <v>3.6189999999999998E-3</v>
      </c>
      <c r="M235" s="158">
        <v>4.6800000000000001E-3</v>
      </c>
      <c r="N235" s="139" cm="1">
        <f t="array" aca="1" ref="N235:AE235" ca="1">IF(OR(B235="",NOT($J$2)),"",GetStripDefaultProbability(A235,B235,Parameter_Date,CDSRollDate,E235:M235,SpreadCurveMaturities,D235,C235,$J$4,$J$6))</f>
        <v>0</v>
      </c>
      <c r="O235" s="165">
        <f ca="1"/>
        <v>0</v>
      </c>
      <c r="P235" s="165">
        <f ca="1"/>
        <v>1.3405958647303429E-3</v>
      </c>
      <c r="Q235" s="165">
        <f ca="1"/>
        <v>0</v>
      </c>
      <c r="R235" s="165">
        <f ca="1"/>
        <v>1.0742417765674084E-2</v>
      </c>
      <c r="S235" s="165">
        <f ca="1"/>
        <v>0</v>
      </c>
      <c r="T235" s="165">
        <f ca="1"/>
        <v>2.3262128140205118E-2</v>
      </c>
      <c r="U235" s="165">
        <f ca="1"/>
        <v>4.417372918920548E-2</v>
      </c>
      <c r="V235" s="140">
        <f ca="1"/>
        <v>8.2324061416722105E-2</v>
      </c>
      <c r="W235" s="139">
        <f ca="1"/>
        <v>0</v>
      </c>
      <c r="X235" s="165">
        <f ca="1"/>
        <v>0</v>
      </c>
      <c r="Y235" s="165">
        <f ca="1"/>
        <v>1.5070252292597175E-3</v>
      </c>
      <c r="Z235" s="165">
        <f ca="1"/>
        <v>0</v>
      </c>
      <c r="AA235" s="165">
        <f ca="1"/>
        <v>1.1255462054094334E-2</v>
      </c>
      <c r="AB235" s="165">
        <f ca="1"/>
        <v>0</v>
      </c>
      <c r="AC235" s="165">
        <f ca="1"/>
        <v>2.4406576352000942E-2</v>
      </c>
      <c r="AD235" s="165">
        <f ca="1"/>
        <v>4.6335178632985086E-2</v>
      </c>
      <c r="AE235" s="140">
        <f ca="1"/>
        <v>8.6283745824437319E-2</v>
      </c>
      <c r="AI235" s="137"/>
      <c r="AK235" s="137"/>
      <c r="AM235" s="137"/>
      <c r="AN235" s="137"/>
      <c r="AO235" s="137"/>
      <c r="AR235" s="137"/>
      <c r="AT235" s="137"/>
      <c r="AV235" s="137"/>
      <c r="AW235" s="137"/>
      <c r="AX235" s="137"/>
    </row>
    <row r="236" spans="1:50" s="79" customFormat="1" ht="10.199999999999999" x14ac:dyDescent="0.2">
      <c r="A236" s="97">
        <f t="shared" ca="1" si="5"/>
        <v>225</v>
      </c>
      <c r="B236" s="68" t="s">
        <v>313</v>
      </c>
      <c r="C236" s="98">
        <v>0.4</v>
      </c>
      <c r="D236" s="69" t="s">
        <v>67</v>
      </c>
      <c r="E236" s="138" t="s">
        <v>87</v>
      </c>
      <c r="F236" s="158" t="s">
        <v>87</v>
      </c>
      <c r="G236" s="158">
        <v>1.158E-3</v>
      </c>
      <c r="H236" s="158" t="s">
        <v>87</v>
      </c>
      <c r="I236" s="158">
        <v>3.3089999999999999E-3</v>
      </c>
      <c r="J236" s="158" t="s">
        <v>87</v>
      </c>
      <c r="K236" s="158">
        <v>4.6319999999999998E-3</v>
      </c>
      <c r="L236" s="158">
        <v>6.097E-3</v>
      </c>
      <c r="M236" s="158">
        <v>7.515E-3</v>
      </c>
      <c r="N236" s="139" cm="1">
        <f t="array" aca="1" ref="N236:AE236" ca="1">IF(OR(B236="",NOT($J$2)),"",GetStripDefaultProbability(A236,B236,Parameter_Date,CDSRollDate,E236:M236,SpreadCurveMaturities,D236,C236,$J$4,$J$6))</f>
        <v>0</v>
      </c>
      <c r="O236" s="165">
        <f ca="1"/>
        <v>0</v>
      </c>
      <c r="P236" s="165">
        <f ca="1"/>
        <v>2.0419329471454972E-3</v>
      </c>
      <c r="Q236" s="165">
        <f ca="1"/>
        <v>0</v>
      </c>
      <c r="R236" s="165">
        <f ca="1"/>
        <v>1.7096673763476122E-2</v>
      </c>
      <c r="S236" s="165">
        <f ca="1"/>
        <v>0</v>
      </c>
      <c r="T236" s="165">
        <f ca="1"/>
        <v>3.9787383689969369E-2</v>
      </c>
      <c r="U236" s="165">
        <f ca="1"/>
        <v>7.3663021363520209E-2</v>
      </c>
      <c r="V236" s="140">
        <f ca="1"/>
        <v>0.12889191836470337</v>
      </c>
      <c r="W236" s="139">
        <f ca="1"/>
        <v>0</v>
      </c>
      <c r="X236" s="165">
        <f ca="1"/>
        <v>0</v>
      </c>
      <c r="Y236" s="165">
        <f ca="1"/>
        <v>2.2082454319073408E-3</v>
      </c>
      <c r="Z236" s="165">
        <f ca="1"/>
        <v>0</v>
      </c>
      <c r="AA236" s="165">
        <f ca="1"/>
        <v>1.7938617453780781E-2</v>
      </c>
      <c r="AB236" s="165">
        <f ca="1"/>
        <v>0</v>
      </c>
      <c r="AC236" s="165">
        <f ca="1"/>
        <v>4.1735028362918203E-2</v>
      </c>
      <c r="AD236" s="165">
        <f ca="1"/>
        <v>7.722611958318859E-2</v>
      </c>
      <c r="AE236" s="140">
        <f ca="1"/>
        <v>0.13500896715782462</v>
      </c>
      <c r="AI236" s="137"/>
      <c r="AK236" s="137"/>
      <c r="AM236" s="137"/>
      <c r="AN236" s="137"/>
      <c r="AO236" s="137"/>
      <c r="AR236" s="137"/>
      <c r="AT236" s="137"/>
      <c r="AV236" s="137"/>
      <c r="AW236" s="137"/>
      <c r="AX236" s="137"/>
    </row>
    <row r="237" spans="1:50" s="79" customFormat="1" ht="10.199999999999999" x14ac:dyDescent="0.2">
      <c r="A237" s="97">
        <f t="shared" ca="1" si="5"/>
        <v>226</v>
      </c>
      <c r="B237" s="68" t="s">
        <v>314</v>
      </c>
      <c r="C237" s="98">
        <v>0.4</v>
      </c>
      <c r="D237" s="69" t="s">
        <v>67</v>
      </c>
      <c r="E237" s="138" t="s">
        <v>87</v>
      </c>
      <c r="F237" s="158" t="s">
        <v>87</v>
      </c>
      <c r="G237" s="158">
        <v>1.062E-3</v>
      </c>
      <c r="H237" s="158" t="s">
        <v>87</v>
      </c>
      <c r="I237" s="158">
        <v>1.9780000000000002E-3</v>
      </c>
      <c r="J237" s="158" t="s">
        <v>87</v>
      </c>
      <c r="K237" s="158">
        <v>3.088E-3</v>
      </c>
      <c r="L237" s="158">
        <v>3.764E-3</v>
      </c>
      <c r="M237" s="158">
        <v>5.4039999999999999E-3</v>
      </c>
      <c r="N237" s="139" cm="1">
        <f t="array" aca="1" ref="N237:AE237" ca="1">IF(OR(B237="",NOT($J$2)),"",GetStripDefaultProbability(A237,B237,Parameter_Date,CDSRollDate,E237:M237,SpreadCurveMaturities,D237,C237,$J$4,$J$6))</f>
        <v>0</v>
      </c>
      <c r="O237" s="165">
        <f ca="1"/>
        <v>0</v>
      </c>
      <c r="P237" s="165">
        <f ca="1"/>
        <v>1.8728109482478716E-3</v>
      </c>
      <c r="Q237" s="165">
        <f ca="1"/>
        <v>0</v>
      </c>
      <c r="R237" s="165">
        <f ca="1"/>
        <v>1.019799581221581E-2</v>
      </c>
      <c r="S237" s="165">
        <f ca="1"/>
        <v>0</v>
      </c>
      <c r="T237" s="165">
        <f ca="1"/>
        <v>2.6748336723661725E-2</v>
      </c>
      <c r="U237" s="165">
        <f ca="1"/>
        <v>4.5680993154047833E-2</v>
      </c>
      <c r="V237" s="140">
        <f ca="1"/>
        <v>9.5742151005481557E-2</v>
      </c>
      <c r="W237" s="139">
        <f ca="1"/>
        <v>0</v>
      </c>
      <c r="X237" s="165">
        <f ca="1"/>
        <v>0</v>
      </c>
      <c r="Y237" s="165">
        <f ca="1"/>
        <v>2.0391516176545554E-3</v>
      </c>
      <c r="Z237" s="165">
        <f ca="1"/>
        <v>0</v>
      </c>
      <c r="AA237" s="165">
        <f ca="1"/>
        <v>1.069277310964456E-2</v>
      </c>
      <c r="AB237" s="165">
        <f ca="1"/>
        <v>0</v>
      </c>
      <c r="AC237" s="165">
        <f ca="1"/>
        <v>2.8064621822075586E-2</v>
      </c>
      <c r="AD237" s="165">
        <f ca="1"/>
        <v>4.7915980513459355E-2</v>
      </c>
      <c r="AE237" s="140">
        <f ca="1"/>
        <v>0.10036371553422574</v>
      </c>
      <c r="AI237" s="137"/>
      <c r="AK237" s="137"/>
      <c r="AM237" s="137"/>
      <c r="AN237" s="137"/>
      <c r="AO237" s="137"/>
      <c r="AR237" s="137"/>
      <c r="AT237" s="137"/>
      <c r="AV237" s="137"/>
      <c r="AW237" s="137"/>
      <c r="AX237" s="137"/>
    </row>
    <row r="238" spans="1:50" s="79" customFormat="1" ht="10.199999999999999" x14ac:dyDescent="0.2">
      <c r="A238" s="97">
        <f t="shared" ca="1" si="5"/>
        <v>227</v>
      </c>
      <c r="B238" s="68" t="s">
        <v>315</v>
      </c>
      <c r="C238" s="98">
        <v>0.4</v>
      </c>
      <c r="D238" s="69" t="s">
        <v>67</v>
      </c>
      <c r="E238" s="138" t="s">
        <v>87</v>
      </c>
      <c r="F238" s="158" t="s">
        <v>87</v>
      </c>
      <c r="G238" s="158">
        <v>1.0319999999999999E-3</v>
      </c>
      <c r="H238" s="158" t="s">
        <v>87</v>
      </c>
      <c r="I238" s="158">
        <v>1.8159999999999999E-3</v>
      </c>
      <c r="J238" s="158" t="s">
        <v>87</v>
      </c>
      <c r="K238" s="158">
        <v>2.6540000000000001E-3</v>
      </c>
      <c r="L238" s="158">
        <v>3.4919999999999999E-3</v>
      </c>
      <c r="M238" s="158">
        <v>4.4229999999999998E-3</v>
      </c>
      <c r="N238" s="139" cm="1">
        <f t="array" aca="1" ref="N238:AE238" ca="1">IF(OR(B238="",NOT($J$2)),"",GetStripDefaultProbability(A238,B238,Parameter_Date,CDSRollDate,E238:M238,SpreadCurveMaturities,D238,C238,$J$4,$J$6))</f>
        <v>0</v>
      </c>
      <c r="O238" s="165">
        <f ca="1"/>
        <v>0</v>
      </c>
      <c r="P238" s="165">
        <f ca="1"/>
        <v>1.8199544924927258E-3</v>
      </c>
      <c r="Q238" s="165">
        <f ca="1"/>
        <v>0</v>
      </c>
      <c r="R238" s="165">
        <f ca="1"/>
        <v>9.3585749346122293E-3</v>
      </c>
      <c r="S238" s="165">
        <f ca="1"/>
        <v>0</v>
      </c>
      <c r="T238" s="165">
        <f ca="1"/>
        <v>2.2939311118706285E-2</v>
      </c>
      <c r="U238" s="165">
        <f ca="1"/>
        <v>4.2662494164692366E-2</v>
      </c>
      <c r="V238" s="140">
        <f ca="1"/>
        <v>7.7708262436550712E-2</v>
      </c>
      <c r="W238" s="139">
        <f ca="1"/>
        <v>0</v>
      </c>
      <c r="X238" s="165">
        <f ca="1"/>
        <v>0</v>
      </c>
      <c r="Y238" s="165">
        <f ca="1"/>
        <v>1.9863039705703134E-3</v>
      </c>
      <c r="Z238" s="165">
        <f ca="1"/>
        <v>0</v>
      </c>
      <c r="AA238" s="165">
        <f ca="1"/>
        <v>9.8537718375923955E-3</v>
      </c>
      <c r="AB238" s="165">
        <f ca="1"/>
        <v>0</v>
      </c>
      <c r="AC238" s="165">
        <f ca="1"/>
        <v>2.4064594010036022E-2</v>
      </c>
      <c r="AD238" s="165">
        <f ca="1"/>
        <v>4.4747989199863003E-2</v>
      </c>
      <c r="AE238" s="140">
        <f ca="1"/>
        <v>8.1449930588170072E-2</v>
      </c>
      <c r="AI238" s="137"/>
      <c r="AK238" s="137"/>
      <c r="AM238" s="137"/>
      <c r="AN238" s="137"/>
      <c r="AO238" s="137"/>
      <c r="AR238" s="137"/>
      <c r="AT238" s="137"/>
      <c r="AV238" s="137"/>
      <c r="AW238" s="137"/>
      <c r="AX238" s="137"/>
    </row>
    <row r="239" spans="1:50" s="79" customFormat="1" ht="10.199999999999999" x14ac:dyDescent="0.2">
      <c r="A239" s="97">
        <f t="shared" ca="1" si="5"/>
        <v>228</v>
      </c>
      <c r="B239" s="68" t="s">
        <v>316</v>
      </c>
      <c r="C239" s="98">
        <v>0.4</v>
      </c>
      <c r="D239" s="69" t="s">
        <v>67</v>
      </c>
      <c r="E239" s="138" t="s">
        <v>87</v>
      </c>
      <c r="F239" s="158" t="s">
        <v>87</v>
      </c>
      <c r="G239" s="158">
        <v>6.02E-4</v>
      </c>
      <c r="H239" s="158" t="s">
        <v>87</v>
      </c>
      <c r="I239" s="158">
        <v>2.0270000000000002E-3</v>
      </c>
      <c r="J239" s="158" t="s">
        <v>87</v>
      </c>
      <c r="K239" s="158">
        <v>2.5089999999999999E-3</v>
      </c>
      <c r="L239" s="158">
        <v>3.4740000000000001E-3</v>
      </c>
      <c r="M239" s="158">
        <v>4.4390000000000002E-3</v>
      </c>
      <c r="N239" s="139" cm="1">
        <f t="array" aca="1" ref="N239:AE239" ca="1">IF(OR(B239="",NOT($J$2)),"",GetStripDefaultProbability(A239,B239,Parameter_Date,CDSRollDate,E239:M239,SpreadCurveMaturities,D239,C239,$J$4,$J$6))</f>
        <v>0</v>
      </c>
      <c r="O239" s="165">
        <f ca="1"/>
        <v>0</v>
      </c>
      <c r="P239" s="165">
        <f ca="1"/>
        <v>1.0620400121212903E-3</v>
      </c>
      <c r="Q239" s="165">
        <f ca="1"/>
        <v>0</v>
      </c>
      <c r="R239" s="165">
        <f ca="1"/>
        <v>1.0513340258286541E-2</v>
      </c>
      <c r="S239" s="165">
        <f ca="1"/>
        <v>0</v>
      </c>
      <c r="T239" s="165">
        <f ca="1"/>
        <v>2.1572308615698144E-2</v>
      </c>
      <c r="U239" s="165">
        <f ca="1"/>
        <v>4.251871724999301E-2</v>
      </c>
      <c r="V239" s="140">
        <f ca="1"/>
        <v>7.8154486163370618E-2</v>
      </c>
      <c r="W239" s="139">
        <f ca="1"/>
        <v>0</v>
      </c>
      <c r="X239" s="165">
        <f ca="1"/>
        <v>0</v>
      </c>
      <c r="Y239" s="165">
        <f ca="1"/>
        <v>1.2285157987452777E-3</v>
      </c>
      <c r="Z239" s="165">
        <f ca="1"/>
        <v>0</v>
      </c>
      <c r="AA239" s="165">
        <f ca="1"/>
        <v>1.1014635596656608E-2</v>
      </c>
      <c r="AB239" s="165">
        <f ca="1"/>
        <v>0</v>
      </c>
      <c r="AC239" s="165">
        <f ca="1"/>
        <v>2.2632910128394523E-2</v>
      </c>
      <c r="AD239" s="165">
        <f ca="1"/>
        <v>4.4599513899255427E-2</v>
      </c>
      <c r="AE239" s="140">
        <f ca="1"/>
        <v>8.1920156078148842E-2</v>
      </c>
      <c r="AI239" s="137"/>
      <c r="AK239" s="137"/>
      <c r="AM239" s="137"/>
      <c r="AN239" s="137"/>
      <c r="AO239" s="137"/>
      <c r="AR239" s="137"/>
      <c r="AT239" s="137"/>
      <c r="AV239" s="137"/>
      <c r="AW239" s="137"/>
      <c r="AX239" s="137"/>
    </row>
    <row r="240" spans="1:50" s="79" customFormat="1" ht="10.199999999999999" x14ac:dyDescent="0.2">
      <c r="A240" s="97">
        <f t="shared" ca="1" si="5"/>
        <v>229</v>
      </c>
      <c r="B240" s="68" t="s">
        <v>317</v>
      </c>
      <c r="C240" s="98">
        <v>0.4</v>
      </c>
      <c r="D240" s="69" t="s">
        <v>67</v>
      </c>
      <c r="E240" s="138" t="s">
        <v>87</v>
      </c>
      <c r="F240" s="158" t="s">
        <v>87</v>
      </c>
      <c r="G240" s="158">
        <v>9.41E-4</v>
      </c>
      <c r="H240" s="158" t="s">
        <v>87</v>
      </c>
      <c r="I240" s="158">
        <v>2.0409999999999998E-3</v>
      </c>
      <c r="J240" s="158" t="s">
        <v>87</v>
      </c>
      <c r="K240" s="158">
        <v>3.1359999999999999E-3</v>
      </c>
      <c r="L240" s="158">
        <v>4.032E-3</v>
      </c>
      <c r="M240" s="158">
        <v>5.0280000000000004E-3</v>
      </c>
      <c r="N240" s="139" cm="1">
        <f t="array" aca="1" ref="N240:AE240" ca="1">IF(OR(B240="",NOT($J$2)),"",GetStripDefaultProbability(A240,B240,Parameter_Date,CDSRollDate,E240:M240,SpreadCurveMaturities,D240,C240,$J$4,$J$6))</f>
        <v>0</v>
      </c>
      <c r="O240" s="165">
        <f ca="1"/>
        <v>0</v>
      </c>
      <c r="P240" s="165">
        <f ca="1"/>
        <v>1.6596062541486267E-3</v>
      </c>
      <c r="Q240" s="165">
        <f ca="1"/>
        <v>0</v>
      </c>
      <c r="R240" s="165">
        <f ca="1"/>
        <v>1.0541713651533224E-2</v>
      </c>
      <c r="S240" s="165">
        <f ca="1"/>
        <v>0</v>
      </c>
      <c r="T240" s="165">
        <f ca="1"/>
        <v>2.7160219826907528E-2</v>
      </c>
      <c r="U240" s="165">
        <f ca="1"/>
        <v>4.9133267859770346E-2</v>
      </c>
      <c r="V240" s="140">
        <f ca="1"/>
        <v>8.7786600022928707E-2</v>
      </c>
      <c r="W240" s="139">
        <f ca="1"/>
        <v>0</v>
      </c>
      <c r="X240" s="165">
        <f ca="1"/>
        <v>0</v>
      </c>
      <c r="Y240" s="165">
        <f ca="1"/>
        <v>1.8259824546933423E-3</v>
      </c>
      <c r="Z240" s="165">
        <f ca="1"/>
        <v>0</v>
      </c>
      <c r="AA240" s="165">
        <f ca="1"/>
        <v>1.1046455958807044E-2</v>
      </c>
      <c r="AB240" s="165">
        <f ca="1"/>
        <v>0</v>
      </c>
      <c r="AC240" s="165">
        <f ca="1"/>
        <v>2.849651894381855E-2</v>
      </c>
      <c r="AD240" s="165">
        <f ca="1"/>
        <v>5.153470853711084E-2</v>
      </c>
      <c r="AE240" s="140">
        <f ca="1"/>
        <v>9.1998374891327339E-2</v>
      </c>
      <c r="AI240" s="137"/>
      <c r="AK240" s="137"/>
      <c r="AM240" s="137"/>
      <c r="AN240" s="137"/>
      <c r="AO240" s="137"/>
      <c r="AR240" s="137"/>
      <c r="AT240" s="137"/>
      <c r="AV240" s="137"/>
      <c r="AW240" s="137"/>
      <c r="AX240" s="137"/>
    </row>
    <row r="241" spans="1:50" s="79" customFormat="1" ht="10.199999999999999" x14ac:dyDescent="0.2">
      <c r="A241" s="97">
        <f t="shared" ca="1" si="5"/>
        <v>230</v>
      </c>
      <c r="B241" s="68" t="s">
        <v>318</v>
      </c>
      <c r="C241" s="98">
        <v>0.4</v>
      </c>
      <c r="D241" s="69" t="s">
        <v>67</v>
      </c>
      <c r="E241" s="138" t="s">
        <v>87</v>
      </c>
      <c r="F241" s="158" t="s">
        <v>87</v>
      </c>
      <c r="G241" s="158">
        <v>1.0070000000000001E-3</v>
      </c>
      <c r="H241" s="158" t="s">
        <v>87</v>
      </c>
      <c r="I241" s="158">
        <v>2.4489999999999998E-3</v>
      </c>
      <c r="J241" s="158" t="s">
        <v>87</v>
      </c>
      <c r="K241" s="158">
        <v>2.7989999999999998E-3</v>
      </c>
      <c r="L241" s="158">
        <v>3.388E-3</v>
      </c>
      <c r="M241" s="158">
        <v>3.7799999999999999E-3</v>
      </c>
      <c r="N241" s="139" cm="1">
        <f t="array" aca="1" ref="N241:AE241" ca="1">IF(OR(B241="",NOT($J$2)),"",GetStripDefaultProbability(A241,B241,Parameter_Date,CDSRollDate,E241:M241,SpreadCurveMaturities,D241,C241,$J$4,$J$6))</f>
        <v>0</v>
      </c>
      <c r="O241" s="165">
        <f ca="1"/>
        <v>0</v>
      </c>
      <c r="P241" s="165">
        <f ca="1"/>
        <v>1.7759053246080292E-3</v>
      </c>
      <c r="Q241" s="165">
        <f ca="1"/>
        <v>0</v>
      </c>
      <c r="R241" s="165">
        <f ca="1"/>
        <v>1.2654653313082354E-2</v>
      </c>
      <c r="S241" s="165">
        <f ca="1"/>
        <v>0</v>
      </c>
      <c r="T241" s="165">
        <f ca="1"/>
        <v>2.3891373868868637E-2</v>
      </c>
      <c r="U241" s="165">
        <f ca="1"/>
        <v>4.0780551637400575E-2</v>
      </c>
      <c r="V241" s="140">
        <f ca="1"/>
        <v>6.4754744855872182E-2</v>
      </c>
      <c r="W241" s="139">
        <f ca="1"/>
        <v>0</v>
      </c>
      <c r="X241" s="165">
        <f ca="1"/>
        <v>0</v>
      </c>
      <c r="Y241" s="165">
        <f ca="1"/>
        <v>1.9422621435909448E-3</v>
      </c>
      <c r="Z241" s="165">
        <f ca="1"/>
        <v>0</v>
      </c>
      <c r="AA241" s="165">
        <f ca="1"/>
        <v>1.3277192181775588E-2</v>
      </c>
      <c r="AB241" s="165">
        <f ca="1"/>
        <v>0</v>
      </c>
      <c r="AC241" s="165">
        <f ca="1"/>
        <v>2.5066156045292054E-2</v>
      </c>
      <c r="AD241" s="165">
        <f ca="1"/>
        <v>4.2776027129330818E-2</v>
      </c>
      <c r="AE241" s="140">
        <f ca="1"/>
        <v>6.7886441491720406E-2</v>
      </c>
      <c r="AI241" s="137"/>
      <c r="AK241" s="137"/>
      <c r="AM241" s="137"/>
      <c r="AN241" s="137"/>
      <c r="AO241" s="137"/>
      <c r="AR241" s="137"/>
      <c r="AT241" s="137"/>
      <c r="AV241" s="137"/>
      <c r="AW241" s="137"/>
      <c r="AX241" s="137"/>
    </row>
    <row r="242" spans="1:50" s="79" customFormat="1" ht="10.199999999999999" x14ac:dyDescent="0.2">
      <c r="A242" s="97">
        <f t="shared" ca="1" si="5"/>
        <v>231</v>
      </c>
      <c r="B242" s="68" t="s">
        <v>319</v>
      </c>
      <c r="C242" s="98">
        <v>0.4</v>
      </c>
      <c r="D242" s="69" t="s">
        <v>67</v>
      </c>
      <c r="E242" s="138" t="s">
        <v>87</v>
      </c>
      <c r="F242" s="158" t="s">
        <v>87</v>
      </c>
      <c r="G242" s="158">
        <v>2.0790000000000001E-3</v>
      </c>
      <c r="H242" s="158" t="s">
        <v>87</v>
      </c>
      <c r="I242" s="158">
        <v>3.5140000000000002E-3</v>
      </c>
      <c r="J242" s="158" t="s">
        <v>87</v>
      </c>
      <c r="K242" s="158">
        <v>5.1630000000000001E-3</v>
      </c>
      <c r="L242" s="158">
        <v>6.1060000000000003E-3</v>
      </c>
      <c r="M242" s="158">
        <v>6.9950000000000003E-3</v>
      </c>
      <c r="N242" s="139" cm="1">
        <f t="array" aca="1" ref="N242:AE242" ca="1">IF(OR(B242="",NOT($J$2)),"",GetStripDefaultProbability(A242,B242,Parameter_Date,CDSRollDate,E242:M242,SpreadCurveMaturities,D242,C242,$J$4,$J$6))</f>
        <v>0</v>
      </c>
      <c r="O242" s="165">
        <f ca="1"/>
        <v>0</v>
      </c>
      <c r="P242" s="165">
        <f ca="1"/>
        <v>3.6630035323164112E-3</v>
      </c>
      <c r="Q242" s="165">
        <f ca="1"/>
        <v>0</v>
      </c>
      <c r="R242" s="165">
        <f ca="1"/>
        <v>1.8031730667146917E-2</v>
      </c>
      <c r="S242" s="165">
        <f ca="1"/>
        <v>0</v>
      </c>
      <c r="T242" s="165">
        <f ca="1"/>
        <v>4.4264936390068343E-2</v>
      </c>
      <c r="U242" s="165">
        <f ca="1"/>
        <v>7.2916994696787807E-2</v>
      </c>
      <c r="V242" s="140">
        <f ca="1"/>
        <v>0.11806584519506824</v>
      </c>
      <c r="W242" s="139">
        <f ca="1"/>
        <v>0</v>
      </c>
      <c r="X242" s="165">
        <f ca="1"/>
        <v>0</v>
      </c>
      <c r="Y242" s="165">
        <f ca="1"/>
        <v>3.8356039650222495E-3</v>
      </c>
      <c r="Z242" s="165">
        <f ca="1"/>
        <v>0</v>
      </c>
      <c r="AA242" s="165">
        <f ca="1"/>
        <v>1.8924990963158694E-2</v>
      </c>
      <c r="AB242" s="165">
        <f ca="1"/>
        <v>0</v>
      </c>
      <c r="AC242" s="165">
        <f ca="1"/>
        <v>4.6432896876440255E-2</v>
      </c>
      <c r="AD242" s="165">
        <f ca="1"/>
        <v>7.6446598416042066E-2</v>
      </c>
      <c r="AE242" s="140">
        <f ca="1"/>
        <v>0.1236748772565639</v>
      </c>
      <c r="AI242" s="137"/>
      <c r="AK242" s="137"/>
      <c r="AM242" s="137"/>
      <c r="AN242" s="137"/>
      <c r="AO242" s="137"/>
      <c r="AR242" s="137"/>
      <c r="AT242" s="137"/>
      <c r="AV242" s="137"/>
      <c r="AW242" s="137"/>
      <c r="AX242" s="137"/>
    </row>
    <row r="243" spans="1:50" s="79" customFormat="1" ht="10.199999999999999" x14ac:dyDescent="0.2">
      <c r="A243" s="97">
        <f t="shared" ca="1" si="5"/>
        <v>232</v>
      </c>
      <c r="B243" s="68" t="s">
        <v>320</v>
      </c>
      <c r="C243" s="98">
        <v>0.4</v>
      </c>
      <c r="D243" s="69" t="s">
        <v>67</v>
      </c>
      <c r="E243" s="138" t="s">
        <v>87</v>
      </c>
      <c r="F243" s="158" t="s">
        <v>87</v>
      </c>
      <c r="G243" s="158">
        <v>6.9099999999999999E-4</v>
      </c>
      <c r="H243" s="158" t="s">
        <v>87</v>
      </c>
      <c r="I243" s="158">
        <v>2.895E-3</v>
      </c>
      <c r="J243" s="158" t="s">
        <v>87</v>
      </c>
      <c r="K243" s="158">
        <v>4.1980000000000003E-3</v>
      </c>
      <c r="L243" s="158">
        <v>5.3080000000000002E-3</v>
      </c>
      <c r="M243" s="158">
        <v>6.5620000000000001E-3</v>
      </c>
      <c r="N243" s="139" cm="1">
        <f t="array" aca="1" ref="N243:AE243" ca="1">IF(OR(B243="",NOT($J$2)),"",GetStripDefaultProbability(A243,B243,Parameter_Date,CDSRollDate,E243:M243,SpreadCurveMaturities,D243,C243,$J$4,$J$6))</f>
        <v>0</v>
      </c>
      <c r="O243" s="165">
        <f ca="1"/>
        <v>0</v>
      </c>
      <c r="P243" s="165">
        <f ca="1"/>
        <v>1.2189575389079943E-3</v>
      </c>
      <c r="Q243" s="165">
        <f ca="1"/>
        <v>0</v>
      </c>
      <c r="R243" s="165">
        <f ca="1"/>
        <v>1.5013264733915066E-2</v>
      </c>
      <c r="S243" s="165">
        <f ca="1"/>
        <v>0</v>
      </c>
      <c r="T243" s="165">
        <f ca="1"/>
        <v>3.6220907955355819E-2</v>
      </c>
      <c r="U243" s="165">
        <f ca="1"/>
        <v>6.4200935407307202E-2</v>
      </c>
      <c r="V243" s="140">
        <f ca="1"/>
        <v>0.11314200880855552</v>
      </c>
      <c r="W243" s="139">
        <f ca="1"/>
        <v>0</v>
      </c>
      <c r="X243" s="165">
        <f ca="1"/>
        <v>0</v>
      </c>
      <c r="Y243" s="165">
        <f ca="1"/>
        <v>1.3854071748048424E-3</v>
      </c>
      <c r="Z243" s="165">
        <f ca="1"/>
        <v>0</v>
      </c>
      <c r="AA243" s="165">
        <f ca="1"/>
        <v>1.5749874264227581E-2</v>
      </c>
      <c r="AB243" s="165">
        <f ca="1"/>
        <v>0</v>
      </c>
      <c r="AC243" s="165">
        <f ca="1"/>
        <v>3.7993959289454926E-2</v>
      </c>
      <c r="AD243" s="165">
        <f ca="1"/>
        <v>6.7315555456199827E-2</v>
      </c>
      <c r="AE243" s="140">
        <f ca="1"/>
        <v>0.11854221026657374</v>
      </c>
      <c r="AI243" s="137"/>
      <c r="AK243" s="137"/>
      <c r="AM243" s="137"/>
      <c r="AN243" s="137"/>
      <c r="AO243" s="137"/>
      <c r="AR243" s="137"/>
      <c r="AT243" s="137"/>
      <c r="AV243" s="137"/>
      <c r="AW243" s="137"/>
      <c r="AX243" s="137"/>
    </row>
    <row r="244" spans="1:50" s="79" customFormat="1" ht="10.199999999999999" x14ac:dyDescent="0.2">
      <c r="A244" s="97">
        <f t="shared" ca="1" si="5"/>
        <v>233</v>
      </c>
      <c r="B244" s="68" t="s">
        <v>321</v>
      </c>
      <c r="C244" s="98">
        <v>0.4</v>
      </c>
      <c r="D244" s="69" t="s">
        <v>67</v>
      </c>
      <c r="E244" s="138" t="s">
        <v>87</v>
      </c>
      <c r="F244" s="158" t="s">
        <v>87</v>
      </c>
      <c r="G244" s="158">
        <v>2.5040000000000001E-3</v>
      </c>
      <c r="H244" s="158" t="s">
        <v>87</v>
      </c>
      <c r="I244" s="158">
        <v>6.2230000000000002E-3</v>
      </c>
      <c r="J244" s="158" t="s">
        <v>87</v>
      </c>
      <c r="K244" s="158">
        <v>8.3470000000000003E-3</v>
      </c>
      <c r="L244" s="158">
        <v>9.9769999999999998E-3</v>
      </c>
      <c r="M244" s="158">
        <v>1.2248999999999999E-2</v>
      </c>
      <c r="N244" s="139" cm="1">
        <f t="array" aca="1" ref="N244:AE244" ca="1">IF(OR(B244="",NOT($J$2)),"",GetStripDefaultProbability(A244,B244,Parameter_Date,CDSRollDate,E244:M244,SpreadCurveMaturities,D244,C244,$J$4,$J$6))</f>
        <v>0</v>
      </c>
      <c r="O244" s="165">
        <f ca="1"/>
        <v>0</v>
      </c>
      <c r="P244" s="165">
        <f ca="1"/>
        <v>4.4101740211707208E-3</v>
      </c>
      <c r="Q244" s="165">
        <f ca="1"/>
        <v>0</v>
      </c>
      <c r="R244" s="165">
        <f ca="1"/>
        <v>3.1921482102943988E-2</v>
      </c>
      <c r="S244" s="165">
        <f ca="1"/>
        <v>0</v>
      </c>
      <c r="T244" s="165">
        <f ca="1"/>
        <v>7.0609899981114443E-2</v>
      </c>
      <c r="U244" s="165">
        <f ca="1"/>
        <v>0.11693596554036645</v>
      </c>
      <c r="V244" s="140">
        <f ca="1"/>
        <v>0.20211608368218514</v>
      </c>
      <c r="W244" s="139">
        <f ca="1"/>
        <v>0</v>
      </c>
      <c r="X244" s="165">
        <f ca="1"/>
        <v>0</v>
      </c>
      <c r="Y244" s="165">
        <f ca="1"/>
        <v>4.6178987581454445E-3</v>
      </c>
      <c r="Z244" s="165">
        <f ca="1"/>
        <v>0</v>
      </c>
      <c r="AA244" s="165">
        <f ca="1"/>
        <v>3.3490109882048591E-2</v>
      </c>
      <c r="AB244" s="165">
        <f ca="1"/>
        <v>0</v>
      </c>
      <c r="AC244" s="165">
        <f ca="1"/>
        <v>7.4021925639187192E-2</v>
      </c>
      <c r="AD244" s="165">
        <f ca="1"/>
        <v>0.12250246322656222</v>
      </c>
      <c r="AE244" s="140">
        <f ca="1"/>
        <v>0.21137800093896264</v>
      </c>
      <c r="AI244" s="137"/>
      <c r="AK244" s="137"/>
      <c r="AM244" s="137"/>
      <c r="AN244" s="137"/>
      <c r="AO244" s="137"/>
      <c r="AR244" s="137"/>
      <c r="AT244" s="137"/>
      <c r="AV244" s="137"/>
      <c r="AW244" s="137"/>
      <c r="AX244" s="137"/>
    </row>
    <row r="245" spans="1:50" s="79" customFormat="1" ht="10.199999999999999" x14ac:dyDescent="0.2">
      <c r="A245" s="97">
        <f t="shared" ca="1" si="5"/>
        <v>234</v>
      </c>
      <c r="B245" s="68" t="s">
        <v>322</v>
      </c>
      <c r="C245" s="98">
        <v>0.4</v>
      </c>
      <c r="D245" s="69" t="s">
        <v>67</v>
      </c>
      <c r="E245" s="138" t="s">
        <v>87</v>
      </c>
      <c r="F245" s="158" t="s">
        <v>87</v>
      </c>
      <c r="G245" s="158">
        <v>3.1319999999999998E-3</v>
      </c>
      <c r="H245" s="158" t="s">
        <v>87</v>
      </c>
      <c r="I245" s="158">
        <v>7.0920000000000002E-3</v>
      </c>
      <c r="J245" s="158" t="s">
        <v>87</v>
      </c>
      <c r="K245" s="158">
        <v>1.155E-2</v>
      </c>
      <c r="L245" s="158">
        <v>1.3374E-2</v>
      </c>
      <c r="M245" s="158">
        <v>1.5500999999999999E-2</v>
      </c>
      <c r="N245" s="139" cm="1">
        <f t="array" aca="1" ref="N245:AE245" ca="1">IF(OR(B245="",NOT($J$2)),"",GetStripDefaultProbability(A245,B245,Parameter_Date,CDSRollDate,E245:M245,SpreadCurveMaturities,D245,C245,$J$4,$J$6))</f>
        <v>0</v>
      </c>
      <c r="O245" s="165">
        <f ca="1"/>
        <v>0</v>
      </c>
      <c r="P245" s="165">
        <f ca="1"/>
        <v>5.5132121560117486E-3</v>
      </c>
      <c r="Q245" s="165">
        <f ca="1"/>
        <v>0</v>
      </c>
      <c r="R245" s="165">
        <f ca="1"/>
        <v>3.6273602825293239E-2</v>
      </c>
      <c r="S245" s="165">
        <f ca="1"/>
        <v>0</v>
      </c>
      <c r="T245" s="165">
        <f ca="1"/>
        <v>9.7751967109866E-2</v>
      </c>
      <c r="U245" s="165">
        <f ca="1"/>
        <v>0.1547371958996423</v>
      </c>
      <c r="V245" s="140">
        <f ca="1"/>
        <v>0.24783949890301482</v>
      </c>
      <c r="W245" s="139">
        <f ca="1"/>
        <v>0</v>
      </c>
      <c r="X245" s="165">
        <f ca="1"/>
        <v>0</v>
      </c>
      <c r="Y245" s="165">
        <f ca="1"/>
        <v>5.7727393378818048E-3</v>
      </c>
      <c r="Z245" s="165">
        <f ca="1"/>
        <v>0</v>
      </c>
      <c r="AA245" s="165">
        <f ca="1"/>
        <v>3.8051353947969546E-2</v>
      </c>
      <c r="AB245" s="165">
        <f ca="1"/>
        <v>0</v>
      </c>
      <c r="AC245" s="165">
        <f ca="1"/>
        <v>0.10246104191214611</v>
      </c>
      <c r="AD245" s="165">
        <f ca="1"/>
        <v>0.16198055499713027</v>
      </c>
      <c r="AE245" s="140">
        <f ca="1"/>
        <v>0.25888588728093276</v>
      </c>
      <c r="AI245" s="137"/>
      <c r="AK245" s="137"/>
      <c r="AM245" s="137"/>
      <c r="AN245" s="137"/>
      <c r="AO245" s="137"/>
      <c r="AR245" s="137"/>
      <c r="AT245" s="137"/>
      <c r="AV245" s="137"/>
      <c r="AW245" s="137"/>
      <c r="AX245" s="137"/>
    </row>
    <row r="246" spans="1:50" s="79" customFormat="1" ht="10.199999999999999" x14ac:dyDescent="0.2">
      <c r="A246" s="97">
        <f t="shared" ca="1" si="5"/>
        <v>235</v>
      </c>
      <c r="B246" s="68" t="s">
        <v>323</v>
      </c>
      <c r="C246" s="98">
        <v>0.4</v>
      </c>
      <c r="D246" s="69" t="s">
        <v>67</v>
      </c>
      <c r="E246" s="138" t="s">
        <v>87</v>
      </c>
      <c r="F246" s="158" t="s">
        <v>87</v>
      </c>
      <c r="G246" s="158">
        <v>6.3900000000000003E-4</v>
      </c>
      <c r="H246" s="158" t="s">
        <v>87</v>
      </c>
      <c r="I246" s="158">
        <v>1.4480000000000001E-3</v>
      </c>
      <c r="J246" s="158" t="s">
        <v>87</v>
      </c>
      <c r="K246" s="158">
        <v>2.5569999999999998E-3</v>
      </c>
      <c r="L246" s="158">
        <v>3.3289999999999999E-3</v>
      </c>
      <c r="M246" s="158">
        <v>4.3429999999999996E-3</v>
      </c>
      <c r="N246" s="139" cm="1">
        <f t="array" aca="1" ref="N246:AE246" ca="1">IF(OR(B246="",NOT($J$2)),"",GetStripDefaultProbability(A246,B246,Parameter_Date,CDSRollDate,E246:M246,SpreadCurveMaturities,D246,C246,$J$4,$J$6))</f>
        <v>0</v>
      </c>
      <c r="O246" s="165">
        <f ca="1"/>
        <v>0</v>
      </c>
      <c r="P246" s="165">
        <f ca="1"/>
        <v>1.1272783598541558E-3</v>
      </c>
      <c r="Q246" s="165">
        <f ca="1"/>
        <v>0</v>
      </c>
      <c r="R246" s="165">
        <f ca="1"/>
        <v>7.4916990822280205E-3</v>
      </c>
      <c r="S246" s="165">
        <f ca="1"/>
        <v>0</v>
      </c>
      <c r="T246" s="165">
        <f ca="1"/>
        <v>2.2323939035336471E-2</v>
      </c>
      <c r="U246" s="165">
        <f ca="1"/>
        <v>4.0878424436267213E-2</v>
      </c>
      <c r="V246" s="140">
        <f ca="1"/>
        <v>7.6848068779944323E-2</v>
      </c>
      <c r="W246" s="139">
        <f ca="1"/>
        <v>0</v>
      </c>
      <c r="X246" s="165">
        <f ca="1"/>
        <v>0</v>
      </c>
      <c r="Y246" s="165">
        <f ca="1"/>
        <v>1.2937432743219679E-3</v>
      </c>
      <c r="Z246" s="165">
        <f ca="1"/>
        <v>0</v>
      </c>
      <c r="AA246" s="165">
        <f ca="1"/>
        <v>7.987829189795459E-3</v>
      </c>
      <c r="AB246" s="165">
        <f ca="1"/>
        <v>0</v>
      </c>
      <c r="AC246" s="165">
        <f ca="1"/>
        <v>2.3406771051228681E-2</v>
      </c>
      <c r="AD246" s="165">
        <f ca="1"/>
        <v>4.2866016032580001E-2</v>
      </c>
      <c r="AE246" s="140">
        <f ca="1"/>
        <v>8.0538698727811386E-2</v>
      </c>
      <c r="AI246" s="137"/>
      <c r="AK246" s="137"/>
      <c r="AM246" s="137"/>
      <c r="AN246" s="137"/>
      <c r="AO246" s="137"/>
      <c r="AR246" s="137"/>
      <c r="AT246" s="137"/>
      <c r="AV246" s="137"/>
      <c r="AW246" s="137"/>
      <c r="AX246" s="137"/>
    </row>
    <row r="247" spans="1:50" s="79" customFormat="1" ht="10.199999999999999" x14ac:dyDescent="0.2">
      <c r="A247" s="97">
        <f t="shared" ca="1" si="5"/>
        <v>236</v>
      </c>
      <c r="B247" s="68" t="s">
        <v>324</v>
      </c>
      <c r="C247" s="98">
        <v>0.4</v>
      </c>
      <c r="D247" s="69" t="s">
        <v>67</v>
      </c>
      <c r="E247" s="138" t="s">
        <v>87</v>
      </c>
      <c r="F247" s="158" t="s">
        <v>87</v>
      </c>
      <c r="G247" s="158">
        <v>6.0999999999999997E-4</v>
      </c>
      <c r="H247" s="158" t="s">
        <v>87</v>
      </c>
      <c r="I247" s="158">
        <v>2.3159999999999999E-3</v>
      </c>
      <c r="J247" s="158" t="s">
        <v>87</v>
      </c>
      <c r="K247" s="158">
        <v>2.702E-3</v>
      </c>
      <c r="L247" s="158">
        <v>3.571E-3</v>
      </c>
      <c r="M247" s="158">
        <v>4.8250000000000003E-3</v>
      </c>
      <c r="N247" s="139" cm="1">
        <f t="array" aca="1" ref="N247:AE247" ca="1">IF(OR(B247="",NOT($J$2)),"",GetStripDefaultProbability(A247,B247,Parameter_Date,CDSRollDate,E247:M247,SpreadCurveMaturities,D247,C247,$J$4,$J$6))</f>
        <v>0</v>
      </c>
      <c r="O247" s="165">
        <f ca="1"/>
        <v>0</v>
      </c>
      <c r="P247" s="165">
        <f ca="1"/>
        <v>1.0761459591452915E-3</v>
      </c>
      <c r="Q247" s="165">
        <f ca="1"/>
        <v>0</v>
      </c>
      <c r="R247" s="165">
        <f ca="1"/>
        <v>1.2015961949635723E-2</v>
      </c>
      <c r="S247" s="165">
        <f ca="1"/>
        <v>0</v>
      </c>
      <c r="T247" s="165">
        <f ca="1"/>
        <v>2.3146668372339252E-2</v>
      </c>
      <c r="U247" s="165">
        <f ca="1"/>
        <v>4.3424179600037638E-2</v>
      </c>
      <c r="V247" s="140">
        <f ca="1"/>
        <v>8.5123018128223205E-2</v>
      </c>
      <c r="W247" s="139">
        <f ca="1"/>
        <v>0</v>
      </c>
      <c r="X247" s="165">
        <f ca="1"/>
        <v>0</v>
      </c>
      <c r="Y247" s="165">
        <f ca="1"/>
        <v>1.2426193949639508E-3</v>
      </c>
      <c r="Z247" s="165">
        <f ca="1"/>
        <v>0</v>
      </c>
      <c r="AA247" s="165">
        <f ca="1"/>
        <v>1.2587839133281764E-2</v>
      </c>
      <c r="AB247" s="165">
        <f ca="1"/>
        <v>0</v>
      </c>
      <c r="AC247" s="165">
        <f ca="1"/>
        <v>2.4284574707182038E-2</v>
      </c>
      <c r="AD247" s="165">
        <f ca="1"/>
        <v>4.5547920401593722E-2</v>
      </c>
      <c r="AE247" s="140">
        <f ca="1"/>
        <v>8.9240526066258763E-2</v>
      </c>
      <c r="AI247" s="137"/>
      <c r="AK247" s="137"/>
      <c r="AM247" s="137"/>
      <c r="AN247" s="137"/>
      <c r="AO247" s="137"/>
      <c r="AR247" s="137"/>
      <c r="AT247" s="137"/>
      <c r="AV247" s="137"/>
      <c r="AW247" s="137"/>
      <c r="AX247" s="137"/>
    </row>
    <row r="248" spans="1:50" s="79" customFormat="1" ht="10.199999999999999" x14ac:dyDescent="0.2">
      <c r="A248" s="97">
        <f t="shared" ca="1" si="5"/>
        <v>237</v>
      </c>
      <c r="B248" s="68" t="s">
        <v>325</v>
      </c>
      <c r="C248" s="98">
        <v>0.4</v>
      </c>
      <c r="D248" s="69" t="s">
        <v>67</v>
      </c>
      <c r="E248" s="138" t="s">
        <v>87</v>
      </c>
      <c r="F248" s="158" t="s">
        <v>87</v>
      </c>
      <c r="G248" s="158">
        <v>2.4285999999999999E-2</v>
      </c>
      <c r="H248" s="158" t="s">
        <v>87</v>
      </c>
      <c r="I248" s="158">
        <v>2.4133999999999999E-2</v>
      </c>
      <c r="J248" s="158" t="s">
        <v>87</v>
      </c>
      <c r="K248" s="158">
        <v>2.1857000000000001E-2</v>
      </c>
      <c r="L248" s="158">
        <v>2.0947E-2</v>
      </c>
      <c r="M248" s="158">
        <v>2.0036000000000002E-2</v>
      </c>
      <c r="N248" s="139" cm="1">
        <f t="array" aca="1" ref="N248:AE248" ca="1">IF(OR(B248="",NOT($J$2)),"",GetStripDefaultProbability(A248,B248,Parameter_Date,CDSRollDate,E248:M248,SpreadCurveMaturities,D248,C248,$J$4,$J$6))</f>
        <v>0</v>
      </c>
      <c r="O248" s="165">
        <f ca="1"/>
        <v>0</v>
      </c>
      <c r="P248" s="165">
        <f ca="1"/>
        <v>4.197419201035224E-2</v>
      </c>
      <c r="Q248" s="165">
        <f ca="1"/>
        <v>0</v>
      </c>
      <c r="R248" s="165">
        <f ca="1"/>
        <v>0.11621882755096291</v>
      </c>
      <c r="S248" s="165">
        <f ca="1"/>
        <v>0</v>
      </c>
      <c r="T248" s="165">
        <f ca="1"/>
        <v>0.16688104316169972</v>
      </c>
      <c r="U248" s="165">
        <f ca="1"/>
        <v>0.2153460019855109</v>
      </c>
      <c r="V248" s="140">
        <f ca="1"/>
        <v>0.27894974105571424</v>
      </c>
      <c r="W248" s="139">
        <f ca="1"/>
        <v>0</v>
      </c>
      <c r="X248" s="165">
        <f ca="1"/>
        <v>0</v>
      </c>
      <c r="Y248" s="165">
        <f ca="1"/>
        <v>4.4012265124942052E-2</v>
      </c>
      <c r="Z248" s="165">
        <f ca="1"/>
        <v>0</v>
      </c>
      <c r="AA248" s="165">
        <f ca="1"/>
        <v>0.12166220040053877</v>
      </c>
      <c r="AB248" s="165">
        <f ca="1"/>
        <v>0</v>
      </c>
      <c r="AC248" s="165">
        <f ca="1"/>
        <v>0.17439503590790839</v>
      </c>
      <c r="AD248" s="165">
        <f ca="1"/>
        <v>0.22469984016296074</v>
      </c>
      <c r="AE248" s="140">
        <f ca="1"/>
        <v>0.29045242279719663</v>
      </c>
      <c r="AI248" s="137"/>
      <c r="AK248" s="137"/>
      <c r="AM248" s="137"/>
      <c r="AN248" s="137"/>
      <c r="AO248" s="137"/>
      <c r="AR248" s="137"/>
      <c r="AT248" s="137"/>
      <c r="AV248" s="137"/>
      <c r="AW248" s="137"/>
      <c r="AX248" s="137"/>
    </row>
    <row r="249" spans="1:50" s="79" customFormat="1" ht="10.199999999999999" x14ac:dyDescent="0.2">
      <c r="A249" s="97">
        <f t="shared" ca="1" si="5"/>
        <v>238</v>
      </c>
      <c r="B249" s="68" t="s">
        <v>326</v>
      </c>
      <c r="C249" s="98">
        <v>0.4</v>
      </c>
      <c r="D249" s="69" t="s">
        <v>67</v>
      </c>
      <c r="E249" s="138" t="s">
        <v>87</v>
      </c>
      <c r="F249" s="158" t="s">
        <v>87</v>
      </c>
      <c r="G249" s="158">
        <v>1.5659999999999999E-3</v>
      </c>
      <c r="H249" s="158" t="s">
        <v>87</v>
      </c>
      <c r="I249" s="158">
        <v>2.3509999999999998E-3</v>
      </c>
      <c r="J249" s="158" t="s">
        <v>87</v>
      </c>
      <c r="K249" s="158">
        <v>2.7499999999999998E-3</v>
      </c>
      <c r="L249" s="158">
        <v>3.5490000000000001E-3</v>
      </c>
      <c r="M249" s="158">
        <v>4.2579999999999996E-3</v>
      </c>
      <c r="N249" s="139" cm="1">
        <f t="array" aca="1" ref="N249:AE249" ca="1">IF(OR(B249="",NOT($J$2)),"",GetStripDefaultProbability(A249,B249,Parameter_Date,CDSRollDate,E249:M249,SpreadCurveMaturities,D249,C249,$J$4,$J$6))</f>
        <v>0</v>
      </c>
      <c r="O249" s="165">
        <f ca="1"/>
        <v>0</v>
      </c>
      <c r="P249" s="165">
        <f ca="1"/>
        <v>2.7603843765241498E-3</v>
      </c>
      <c r="Q249" s="165">
        <f ca="1"/>
        <v>0</v>
      </c>
      <c r="R249" s="165">
        <f ca="1"/>
        <v>1.2071223340363924E-2</v>
      </c>
      <c r="S249" s="165">
        <f ca="1"/>
        <v>0</v>
      </c>
      <c r="T249" s="165">
        <f ca="1"/>
        <v>2.343161595646237E-2</v>
      </c>
      <c r="U249" s="165">
        <f ca="1"/>
        <v>4.2933517266993348E-2</v>
      </c>
      <c r="V249" s="140">
        <f ca="1"/>
        <v>7.3861550507227092E-2</v>
      </c>
      <c r="W249" s="139">
        <f ca="1"/>
        <v>0</v>
      </c>
      <c r="X249" s="165">
        <f ca="1"/>
        <v>0</v>
      </c>
      <c r="Y249" s="165">
        <f ca="1"/>
        <v>2.9265771293535137E-3</v>
      </c>
      <c r="Z249" s="165">
        <f ca="1"/>
        <v>0</v>
      </c>
      <c r="AA249" s="165">
        <f ca="1"/>
        <v>1.265170787226555E-2</v>
      </c>
      <c r="AB249" s="165">
        <f ca="1"/>
        <v>0</v>
      </c>
      <c r="AC249" s="165">
        <f ca="1"/>
        <v>2.4589172555316563E-2</v>
      </c>
      <c r="AD249" s="165">
        <f ca="1"/>
        <v>4.5038943545074539E-2</v>
      </c>
      <c r="AE249" s="140">
        <f ca="1"/>
        <v>7.7428616109771808E-2</v>
      </c>
      <c r="AI249" s="137"/>
      <c r="AK249" s="137"/>
      <c r="AM249" s="137"/>
      <c r="AN249" s="137"/>
      <c r="AO249" s="137"/>
      <c r="AR249" s="137"/>
      <c r="AT249" s="137"/>
      <c r="AV249" s="137"/>
      <c r="AW249" s="137"/>
      <c r="AX249" s="137"/>
    </row>
    <row r="250" spans="1:50" s="79" customFormat="1" ht="10.199999999999999" x14ac:dyDescent="0.2">
      <c r="A250" s="97">
        <f t="shared" ca="1" si="5"/>
        <v>239</v>
      </c>
      <c r="B250" s="68" t="s">
        <v>327</v>
      </c>
      <c r="C250" s="98">
        <v>0.4</v>
      </c>
      <c r="D250" s="69" t="s">
        <v>67</v>
      </c>
      <c r="E250" s="138" t="s">
        <v>87</v>
      </c>
      <c r="F250" s="158" t="s">
        <v>87</v>
      </c>
      <c r="G250" s="158">
        <v>6.9800000000000005E-4</v>
      </c>
      <c r="H250" s="158" t="s">
        <v>87</v>
      </c>
      <c r="I250" s="158">
        <v>1.629E-3</v>
      </c>
      <c r="J250" s="158" t="s">
        <v>87</v>
      </c>
      <c r="K250" s="158">
        <v>2.6540000000000001E-3</v>
      </c>
      <c r="L250" s="158">
        <v>3.637E-3</v>
      </c>
      <c r="M250" s="158">
        <v>4.8650000000000004E-3</v>
      </c>
      <c r="N250" s="139" cm="1">
        <f t="array" aca="1" ref="N250:AE250" ca="1">IF(OR(B250="",NOT($J$2)),"",GetStripDefaultProbability(A250,B250,Parameter_Date,CDSRollDate,E250:M250,SpreadCurveMaturities,D250,C250,$J$4,$J$6))</f>
        <v>0</v>
      </c>
      <c r="O250" s="165">
        <f ca="1"/>
        <v>0</v>
      </c>
      <c r="P250" s="165">
        <f ca="1"/>
        <v>1.2312983290623247E-3</v>
      </c>
      <c r="Q250" s="165">
        <f ca="1"/>
        <v>0</v>
      </c>
      <c r="R250" s="165">
        <f ca="1"/>
        <v>8.4277500905189928E-3</v>
      </c>
      <c r="S250" s="165">
        <f ca="1"/>
        <v>0</v>
      </c>
      <c r="T250" s="165">
        <f ca="1"/>
        <v>2.3088747976644175E-2</v>
      </c>
      <c r="U250" s="165">
        <f ca="1"/>
        <v>4.4726143090274451E-2</v>
      </c>
      <c r="V250" s="140">
        <f ca="1"/>
        <v>8.6207367078198427E-2</v>
      </c>
      <c r="W250" s="139">
        <f ca="1"/>
        <v>0</v>
      </c>
      <c r="X250" s="165">
        <f ca="1"/>
        <v>0</v>
      </c>
      <c r="Y250" s="165">
        <f ca="1"/>
        <v>1.3977459083234223E-3</v>
      </c>
      <c r="Z250" s="165">
        <f ca="1"/>
        <v>0</v>
      </c>
      <c r="AA250" s="165">
        <f ca="1"/>
        <v>8.9234122896036938E-3</v>
      </c>
      <c r="AB250" s="165">
        <f ca="1"/>
        <v>0</v>
      </c>
      <c r="AC250" s="165">
        <f ca="1"/>
        <v>2.4214312697798057E-2</v>
      </c>
      <c r="AD250" s="165">
        <f ca="1"/>
        <v>4.6904952517961673E-2</v>
      </c>
      <c r="AE250" s="140">
        <f ca="1"/>
        <v>9.0368523904550413E-2</v>
      </c>
      <c r="AI250" s="137"/>
      <c r="AK250" s="137"/>
      <c r="AM250" s="137"/>
      <c r="AN250" s="137"/>
      <c r="AO250" s="137"/>
      <c r="AR250" s="137"/>
      <c r="AT250" s="137"/>
      <c r="AV250" s="137"/>
      <c r="AW250" s="137"/>
      <c r="AX250" s="137"/>
    </row>
    <row r="251" spans="1:50" s="79" customFormat="1" ht="10.199999999999999" x14ac:dyDescent="0.2">
      <c r="A251" s="97">
        <f t="shared" ca="1" si="5"/>
        <v>240</v>
      </c>
      <c r="B251" s="68" t="s">
        <v>328</v>
      </c>
      <c r="C251" s="98">
        <v>0.4</v>
      </c>
      <c r="D251" s="69" t="s">
        <v>67</v>
      </c>
      <c r="E251" s="138" t="s">
        <v>87</v>
      </c>
      <c r="F251" s="158" t="s">
        <v>87</v>
      </c>
      <c r="G251" s="158">
        <v>1.928E-3</v>
      </c>
      <c r="H251" s="158" t="s">
        <v>87</v>
      </c>
      <c r="I251" s="158">
        <v>4.6899999999999997E-3</v>
      </c>
      <c r="J251" s="158" t="s">
        <v>87</v>
      </c>
      <c r="K251" s="158">
        <v>6.7070000000000003E-3</v>
      </c>
      <c r="L251" s="158">
        <v>8.3960000000000007E-3</v>
      </c>
      <c r="M251" s="158">
        <v>9.9319999999999999E-3</v>
      </c>
      <c r="N251" s="139" cm="1">
        <f t="array" aca="1" ref="N251:AE251" ca="1">IF(OR(B251="",NOT($J$2)),"",GetStripDefaultProbability(A251,B251,Parameter_Date,CDSRollDate,E251:M251,SpreadCurveMaturities,D251,C251,$J$4,$J$6))</f>
        <v>0</v>
      </c>
      <c r="O251" s="165">
        <f ca="1"/>
        <v>0</v>
      </c>
      <c r="P251" s="165">
        <f ca="1"/>
        <v>3.3974044631085443E-3</v>
      </c>
      <c r="Q251" s="165">
        <f ca="1"/>
        <v>0</v>
      </c>
      <c r="R251" s="165">
        <f ca="1"/>
        <v>2.412571038557354E-2</v>
      </c>
      <c r="S251" s="165">
        <f ca="1"/>
        <v>0</v>
      </c>
      <c r="T251" s="165">
        <f ca="1"/>
        <v>5.7252368564131184E-2</v>
      </c>
      <c r="U251" s="165">
        <f ca="1"/>
        <v>9.9907132153635336E-2</v>
      </c>
      <c r="V251" s="140">
        <f ca="1"/>
        <v>0.16599997253576437</v>
      </c>
      <c r="W251" s="139">
        <f ca="1"/>
        <v>0</v>
      </c>
      <c r="X251" s="165">
        <f ca="1"/>
        <v>0</v>
      </c>
      <c r="Y251" s="165">
        <f ca="1"/>
        <v>3.5634910547815979E-3</v>
      </c>
      <c r="Z251" s="165">
        <f ca="1"/>
        <v>0</v>
      </c>
      <c r="AA251" s="165">
        <f ca="1"/>
        <v>2.5316217825816167E-2</v>
      </c>
      <c r="AB251" s="165">
        <f ca="1"/>
        <v>0</v>
      </c>
      <c r="AC251" s="165">
        <f ca="1"/>
        <v>6.0038404578628635E-2</v>
      </c>
      <c r="AD251" s="165">
        <f ca="1"/>
        <v>0.10468563360357697</v>
      </c>
      <c r="AE251" s="140">
        <f ca="1"/>
        <v>0.17373489950563936</v>
      </c>
      <c r="AI251" s="137"/>
      <c r="AK251" s="137"/>
      <c r="AM251" s="137"/>
      <c r="AN251" s="137"/>
      <c r="AO251" s="137"/>
      <c r="AR251" s="137"/>
      <c r="AT251" s="137"/>
      <c r="AV251" s="137"/>
      <c r="AW251" s="137"/>
      <c r="AX251" s="137"/>
    </row>
    <row r="252" spans="1:50" s="79" customFormat="1" ht="10.199999999999999" x14ac:dyDescent="0.2">
      <c r="A252" s="97">
        <f t="shared" ca="1" si="5"/>
        <v>241</v>
      </c>
      <c r="B252" s="68" t="s">
        <v>329</v>
      </c>
      <c r="C252" s="98">
        <v>0.4</v>
      </c>
      <c r="D252" s="69" t="s">
        <v>67</v>
      </c>
      <c r="E252" s="138" t="s">
        <v>87</v>
      </c>
      <c r="F252" s="158" t="s">
        <v>87</v>
      </c>
      <c r="G252" s="158">
        <v>6.02E-4</v>
      </c>
      <c r="H252" s="158" t="s">
        <v>87</v>
      </c>
      <c r="I252" s="158">
        <v>2.8709999999999999E-3</v>
      </c>
      <c r="J252" s="158" t="s">
        <v>87</v>
      </c>
      <c r="K252" s="158">
        <v>3.8119999999999999E-3</v>
      </c>
      <c r="L252" s="158">
        <v>4.6119999999999998E-3</v>
      </c>
      <c r="M252" s="158">
        <v>5.6470000000000001E-3</v>
      </c>
      <c r="N252" s="139" cm="1">
        <f t="array" aca="1" ref="N252:AE252" ca="1">IF(OR(B252="",NOT($J$2)),"",GetStripDefaultProbability(A252,B252,Parameter_Date,CDSRollDate,E252:M252,SpreadCurveMaturities,D252,C252,$J$4,$J$6))</f>
        <v>0</v>
      </c>
      <c r="O252" s="165">
        <f ca="1"/>
        <v>0</v>
      </c>
      <c r="P252" s="165">
        <f ca="1"/>
        <v>1.0620400121212903E-3</v>
      </c>
      <c r="Q252" s="165">
        <f ca="1"/>
        <v>0</v>
      </c>
      <c r="R252" s="165">
        <f ca="1"/>
        <v>1.4900705108712664E-2</v>
      </c>
      <c r="S252" s="165">
        <f ca="1"/>
        <v>0</v>
      </c>
      <c r="T252" s="165">
        <f ca="1"/>
        <v>3.279329802136699E-2</v>
      </c>
      <c r="U252" s="165">
        <f ca="1"/>
        <v>5.5564162313790577E-2</v>
      </c>
      <c r="V252" s="140">
        <f ca="1"/>
        <v>9.7402474637405145E-2</v>
      </c>
      <c r="W252" s="139">
        <f ca="1"/>
        <v>0</v>
      </c>
      <c r="X252" s="165">
        <f ca="1"/>
        <v>0</v>
      </c>
      <c r="Y252" s="165">
        <f ca="1"/>
        <v>1.2285157987452777E-3</v>
      </c>
      <c r="Z252" s="165">
        <f ca="1"/>
        <v>0</v>
      </c>
      <c r="AA252" s="165">
        <f ca="1"/>
        <v>1.5631205692200445E-2</v>
      </c>
      <c r="AB252" s="165">
        <f ca="1"/>
        <v>0</v>
      </c>
      <c r="AC252" s="165">
        <f ca="1"/>
        <v>3.4399474503156613E-2</v>
      </c>
      <c r="AD252" s="165">
        <f ca="1"/>
        <v>5.8266311769536006E-2</v>
      </c>
      <c r="AE252" s="140">
        <f ca="1"/>
        <v>0.10207514505332516</v>
      </c>
      <c r="AI252" s="137"/>
      <c r="AK252" s="137"/>
      <c r="AM252" s="137"/>
      <c r="AN252" s="137"/>
      <c r="AO252" s="137"/>
      <c r="AR252" s="137"/>
      <c r="AT252" s="137"/>
      <c r="AV252" s="137"/>
      <c r="AW252" s="137"/>
      <c r="AX252" s="137"/>
    </row>
    <row r="253" spans="1:50" s="79" customFormat="1" ht="10.199999999999999" x14ac:dyDescent="0.2">
      <c r="A253" s="97">
        <f t="shared" ca="1" si="5"/>
        <v>242</v>
      </c>
      <c r="B253" s="68" t="s">
        <v>330</v>
      </c>
      <c r="C253" s="98">
        <v>0.4</v>
      </c>
      <c r="D253" s="69" t="s">
        <v>67</v>
      </c>
      <c r="E253" s="138" t="s">
        <v>87</v>
      </c>
      <c r="F253" s="158" t="s">
        <v>87</v>
      </c>
      <c r="G253" s="158">
        <v>3.7399999999999998E-4</v>
      </c>
      <c r="H253" s="158" t="s">
        <v>87</v>
      </c>
      <c r="I253" s="158">
        <v>1.255E-3</v>
      </c>
      <c r="J253" s="158" t="s">
        <v>87</v>
      </c>
      <c r="K253" s="158">
        <v>1.9300000000000001E-3</v>
      </c>
      <c r="L253" s="158">
        <v>2.9919999999999999E-3</v>
      </c>
      <c r="M253" s="158">
        <v>3.4740000000000001E-3</v>
      </c>
      <c r="N253" s="139" cm="1">
        <f t="array" aca="1" ref="N253:AE253" ca="1">IF(OR(B253="",NOT($J$2)),"",GetStripDefaultProbability(A253,B253,Parameter_Date,CDSRollDate,E253:M253,SpreadCurveMaturities,D253,C253,$J$4,$J$6))</f>
        <v>0</v>
      </c>
      <c r="O253" s="165">
        <f ca="1"/>
        <v>0</v>
      </c>
      <c r="P253" s="165">
        <f ca="1"/>
        <v>6.5993739455927347E-4</v>
      </c>
      <c r="Q253" s="165">
        <f ca="1"/>
        <v>0</v>
      </c>
      <c r="R253" s="165">
        <f ca="1"/>
        <v>6.5187028745490316E-3</v>
      </c>
      <c r="S253" s="165">
        <f ca="1"/>
        <v>0</v>
      </c>
      <c r="T253" s="165">
        <f ca="1"/>
        <v>1.6805900556030817E-2</v>
      </c>
      <c r="U253" s="165">
        <f ca="1"/>
        <v>3.7235900734637783E-2</v>
      </c>
      <c r="V253" s="140">
        <f ca="1"/>
        <v>6.1203333918626757E-2</v>
      </c>
      <c r="W253" s="139">
        <f ca="1"/>
        <v>0</v>
      </c>
      <c r="X253" s="165">
        <f ca="1"/>
        <v>0</v>
      </c>
      <c r="Y253" s="165">
        <f ca="1"/>
        <v>8.2648019269382367E-4</v>
      </c>
      <c r="Z253" s="165">
        <f ca="1"/>
        <v>0</v>
      </c>
      <c r="AA253" s="165">
        <f ca="1"/>
        <v>7.0153193586771634E-3</v>
      </c>
      <c r="AB253" s="165">
        <f ca="1"/>
        <v>0</v>
      </c>
      <c r="AC253" s="165">
        <f ca="1"/>
        <v>1.7624887680221857E-2</v>
      </c>
      <c r="AD253" s="165">
        <f ca="1"/>
        <v>3.9039319678069728E-2</v>
      </c>
      <c r="AE253" s="140">
        <f ca="1"/>
        <v>6.4151869398429984E-2</v>
      </c>
      <c r="AI253" s="137"/>
      <c r="AK253" s="137"/>
      <c r="AM253" s="137"/>
      <c r="AN253" s="137"/>
      <c r="AO253" s="137"/>
      <c r="AR253" s="137"/>
      <c r="AT253" s="137"/>
      <c r="AV253" s="137"/>
      <c r="AW253" s="137"/>
      <c r="AX253" s="137"/>
    </row>
    <row r="254" spans="1:50" s="79" customFormat="1" ht="10.199999999999999" x14ac:dyDescent="0.2">
      <c r="A254" s="97">
        <f t="shared" ca="1" si="5"/>
        <v>243</v>
      </c>
      <c r="B254" s="68" t="s">
        <v>331</v>
      </c>
      <c r="C254" s="98">
        <v>0.4</v>
      </c>
      <c r="D254" s="69" t="s">
        <v>67</v>
      </c>
      <c r="E254" s="138" t="s">
        <v>87</v>
      </c>
      <c r="F254" s="158" t="s">
        <v>87</v>
      </c>
      <c r="G254" s="158">
        <v>1.0859999999999999E-3</v>
      </c>
      <c r="H254" s="158" t="s">
        <v>87</v>
      </c>
      <c r="I254" s="158">
        <v>1.3029999999999999E-3</v>
      </c>
      <c r="J254" s="158" t="s">
        <v>87</v>
      </c>
      <c r="K254" s="158">
        <v>2.1710000000000002E-3</v>
      </c>
      <c r="L254" s="158">
        <v>2.895E-3</v>
      </c>
      <c r="M254" s="158">
        <v>3.3779999999999999E-3</v>
      </c>
      <c r="N254" s="139" cm="1">
        <f t="array" aca="1" ref="N254:AE254" ca="1">IF(OR(B254="",NOT($J$2)),"",GetStripDefaultProbability(A254,B254,Parameter_Date,CDSRollDate,E254:M254,SpreadCurveMaturities,D254,C254,$J$4,$J$6))</f>
        <v>0</v>
      </c>
      <c r="O254" s="165">
        <f ca="1"/>
        <v>0</v>
      </c>
      <c r="P254" s="165">
        <f ca="1"/>
        <v>1.9150941135316346E-3</v>
      </c>
      <c r="Q254" s="165">
        <f ca="1"/>
        <v>0</v>
      </c>
      <c r="R254" s="165">
        <f ca="1"/>
        <v>6.6780859085007194E-3</v>
      </c>
      <c r="S254" s="165">
        <f ca="1"/>
        <v>0</v>
      </c>
      <c r="T254" s="165">
        <f ca="1"/>
        <v>1.886337640885094E-2</v>
      </c>
      <c r="U254" s="165">
        <f ca="1"/>
        <v>3.5574491446090151E-2</v>
      </c>
      <c r="V254" s="140">
        <f ca="1"/>
        <v>5.9124787205759421E-2</v>
      </c>
      <c r="W254" s="139">
        <f ca="1"/>
        <v>0</v>
      </c>
      <c r="X254" s="165">
        <f ca="1"/>
        <v>0</v>
      </c>
      <c r="Y254" s="165">
        <f ca="1"/>
        <v>2.0814277363436773E-3</v>
      </c>
      <c r="Z254" s="165">
        <f ca="1"/>
        <v>0</v>
      </c>
      <c r="AA254" s="165">
        <f ca="1"/>
        <v>7.1746227210007785E-3</v>
      </c>
      <c r="AB254" s="165">
        <f ca="1"/>
        <v>0</v>
      </c>
      <c r="AC254" s="165">
        <f ca="1"/>
        <v>1.9775145451599196E-2</v>
      </c>
      <c r="AD254" s="165">
        <f ca="1"/>
        <v>3.7303816891591568E-2</v>
      </c>
      <c r="AE254" s="140">
        <f ca="1"/>
        <v>6.1979709834864671E-2</v>
      </c>
      <c r="AI254" s="137"/>
      <c r="AK254" s="137"/>
      <c r="AM254" s="137"/>
      <c r="AN254" s="137"/>
      <c r="AO254" s="137"/>
      <c r="AR254" s="137"/>
      <c r="AT254" s="137"/>
      <c r="AV254" s="137"/>
      <c r="AW254" s="137"/>
      <c r="AX254" s="137"/>
    </row>
    <row r="255" spans="1:50" s="79" customFormat="1" ht="10.199999999999999" x14ac:dyDescent="0.2">
      <c r="A255" s="97">
        <f t="shared" ca="1" si="5"/>
        <v>244</v>
      </c>
      <c r="B255" s="68" t="s">
        <v>332</v>
      </c>
      <c r="C255" s="98">
        <v>0.4</v>
      </c>
      <c r="D255" s="69" t="s">
        <v>67</v>
      </c>
      <c r="E255" s="138" t="s">
        <v>87</v>
      </c>
      <c r="F255" s="158" t="s">
        <v>87</v>
      </c>
      <c r="G255" s="158">
        <v>6.9499999999999998E-4</v>
      </c>
      <c r="H255" s="158" t="s">
        <v>87</v>
      </c>
      <c r="I255" s="158">
        <v>1.544E-3</v>
      </c>
      <c r="J255" s="158" t="s">
        <v>87</v>
      </c>
      <c r="K255" s="158">
        <v>2.3159999999999999E-3</v>
      </c>
      <c r="L255" s="158">
        <v>3.1849999999999999E-3</v>
      </c>
      <c r="M255" s="158">
        <v>4.4869999999999997E-3</v>
      </c>
      <c r="N255" s="139" cm="1">
        <f t="array" aca="1" ref="N255:AE255" ca="1">IF(OR(B255="",NOT($J$2)),"",GetStripDefaultProbability(A255,B255,Parameter_Date,CDSRollDate,E255:M255,SpreadCurveMaturities,D255,C255,$J$4,$J$6))</f>
        <v>0</v>
      </c>
      <c r="O255" s="165">
        <f ca="1"/>
        <v>0</v>
      </c>
      <c r="P255" s="165">
        <f ca="1"/>
        <v>1.2260094375456942E-3</v>
      </c>
      <c r="Q255" s="165">
        <f ca="1"/>
        <v>0</v>
      </c>
      <c r="R255" s="165">
        <f ca="1"/>
        <v>7.9850604358969735E-3</v>
      </c>
      <c r="S255" s="165">
        <f ca="1"/>
        <v>0</v>
      </c>
      <c r="T255" s="165">
        <f ca="1"/>
        <v>2.0089562308646225E-2</v>
      </c>
      <c r="U255" s="165">
        <f ca="1"/>
        <v>3.9171840065238661E-2</v>
      </c>
      <c r="V255" s="140">
        <f ca="1"/>
        <v>8.0157019102092608E-2</v>
      </c>
      <c r="W255" s="139">
        <f ca="1"/>
        <v>0</v>
      </c>
      <c r="X255" s="165">
        <f ca="1"/>
        <v>0</v>
      </c>
      <c r="Y255" s="165">
        <f ca="1"/>
        <v>1.3924578982190683E-3</v>
      </c>
      <c r="Z255" s="165">
        <f ca="1"/>
        <v>0</v>
      </c>
      <c r="AA255" s="165">
        <f ca="1"/>
        <v>8.480943924491835E-3</v>
      </c>
      <c r="AB255" s="165">
        <f ca="1"/>
        <v>0</v>
      </c>
      <c r="AC255" s="165">
        <f ca="1"/>
        <v>2.1065696265156753E-2</v>
      </c>
      <c r="AD255" s="165">
        <f ca="1"/>
        <v>4.1079695034523911E-2</v>
      </c>
      <c r="AE255" s="140">
        <f ca="1"/>
        <v>8.4034654539066334E-2</v>
      </c>
      <c r="AI255" s="137"/>
      <c r="AK255" s="137"/>
      <c r="AM255" s="137"/>
      <c r="AN255" s="137"/>
      <c r="AO255" s="137"/>
      <c r="AR255" s="137"/>
      <c r="AT255" s="137"/>
      <c r="AV255" s="137"/>
      <c r="AW255" s="137"/>
      <c r="AX255" s="137"/>
    </row>
    <row r="256" spans="1:50" s="79" customFormat="1" ht="10.199999999999999" x14ac:dyDescent="0.2">
      <c r="A256" s="97">
        <f t="shared" ca="1" si="5"/>
        <v>245</v>
      </c>
      <c r="B256" s="68" t="s">
        <v>333</v>
      </c>
      <c r="C256" s="98">
        <v>0.4</v>
      </c>
      <c r="D256" s="69" t="s">
        <v>67</v>
      </c>
      <c r="E256" s="138" t="s">
        <v>87</v>
      </c>
      <c r="F256" s="158" t="s">
        <v>87</v>
      </c>
      <c r="G256" s="158">
        <v>2.0885000000000001E-2</v>
      </c>
      <c r="H256" s="158" t="s">
        <v>87</v>
      </c>
      <c r="I256" s="158">
        <v>1.9042E-2</v>
      </c>
      <c r="J256" s="158" t="s">
        <v>87</v>
      </c>
      <c r="K256" s="158">
        <v>1.5970999999999999E-2</v>
      </c>
      <c r="L256" s="158">
        <v>1.5356E-2</v>
      </c>
      <c r="M256" s="158">
        <v>1.4435E-2</v>
      </c>
      <c r="N256" s="139" cm="1">
        <f t="array" aca="1" ref="N256:AE256" ca="1">IF(OR(B256="",NOT($J$2)),"",GetStripDefaultProbability(A256,B256,Parameter_Date,CDSRollDate,E256:M256,SpreadCurveMaturities,D256,C256,$J$4,$J$6))</f>
        <v>0</v>
      </c>
      <c r="O256" s="165">
        <f ca="1"/>
        <v>0</v>
      </c>
      <c r="P256" s="165">
        <f ca="1"/>
        <v>3.6201807059013991E-2</v>
      </c>
      <c r="Q256" s="165">
        <f ca="1"/>
        <v>0</v>
      </c>
      <c r="R256" s="165">
        <f ca="1"/>
        <v>9.2544988420496521E-2</v>
      </c>
      <c r="S256" s="165">
        <f ca="1"/>
        <v>0</v>
      </c>
      <c r="T256" s="165">
        <f ca="1"/>
        <v>0.12356134221244697</v>
      </c>
      <c r="U256" s="165">
        <f ca="1"/>
        <v>0.16195240814276779</v>
      </c>
      <c r="V256" s="140">
        <f ca="1"/>
        <v>0.20830112774827036</v>
      </c>
      <c r="W256" s="139">
        <f ca="1"/>
        <v>0</v>
      </c>
      <c r="X256" s="165">
        <f ca="1"/>
        <v>0</v>
      </c>
      <c r="Y256" s="165">
        <f ca="1"/>
        <v>3.7967538015451385E-2</v>
      </c>
      <c r="Z256" s="165">
        <f ca="1"/>
        <v>0</v>
      </c>
      <c r="AA256" s="165">
        <f ca="1"/>
        <v>9.6933267374442966E-2</v>
      </c>
      <c r="AB256" s="165">
        <f ca="1"/>
        <v>0</v>
      </c>
      <c r="AC256" s="165">
        <f ca="1"/>
        <v>0.12924491027797935</v>
      </c>
      <c r="AD256" s="165">
        <f ca="1"/>
        <v>0.16921894994009545</v>
      </c>
      <c r="AE256" s="140">
        <f ca="1"/>
        <v>0.21734893539933964</v>
      </c>
      <c r="AI256" s="137"/>
      <c r="AK256" s="137"/>
      <c r="AM256" s="137"/>
      <c r="AN256" s="137"/>
      <c r="AO256" s="137"/>
      <c r="AR256" s="137"/>
      <c r="AT256" s="137"/>
      <c r="AV256" s="137"/>
      <c r="AW256" s="137"/>
      <c r="AX256" s="137"/>
    </row>
    <row r="257" spans="1:50" s="79" customFormat="1" ht="10.199999999999999" x14ac:dyDescent="0.2">
      <c r="A257" s="97">
        <f t="shared" ca="1" si="5"/>
        <v>246</v>
      </c>
      <c r="B257" s="68" t="s">
        <v>334</v>
      </c>
      <c r="C257" s="98">
        <v>0.4</v>
      </c>
      <c r="D257" s="69" t="s">
        <v>67</v>
      </c>
      <c r="E257" s="138" t="s">
        <v>87</v>
      </c>
      <c r="F257" s="158" t="s">
        <v>87</v>
      </c>
      <c r="G257" s="158">
        <v>1.3420000000000001E-3</v>
      </c>
      <c r="H257" s="158" t="s">
        <v>87</v>
      </c>
      <c r="I257" s="158">
        <v>2.5339999999999998E-3</v>
      </c>
      <c r="J257" s="158" t="s">
        <v>87</v>
      </c>
      <c r="K257" s="158">
        <v>3.3289999999999999E-3</v>
      </c>
      <c r="L257" s="158">
        <v>3.4290000000000002E-3</v>
      </c>
      <c r="M257" s="158">
        <v>3.5279999999999999E-3</v>
      </c>
      <c r="N257" s="139" cm="1">
        <f t="array" aca="1" ref="N257:AE257" ca="1">IF(OR(B257="",NOT($J$2)),"",GetStripDefaultProbability(A257,B257,Parameter_Date,CDSRollDate,E257:M257,SpreadCurveMaturities,D257,C257,$J$4,$J$6))</f>
        <v>0</v>
      </c>
      <c r="O257" s="165">
        <f ca="1"/>
        <v>0</v>
      </c>
      <c r="P257" s="165">
        <f ca="1"/>
        <v>2.3660039902532182E-3</v>
      </c>
      <c r="Q257" s="165">
        <f ca="1"/>
        <v>0</v>
      </c>
      <c r="R257" s="165">
        <f ca="1"/>
        <v>1.3051615696722862E-2</v>
      </c>
      <c r="S257" s="165">
        <f ca="1"/>
        <v>0</v>
      </c>
      <c r="T257" s="165">
        <f ca="1"/>
        <v>2.8557626196189623E-2</v>
      </c>
      <c r="U257" s="165">
        <f ca="1"/>
        <v>4.0661393237727883E-2</v>
      </c>
      <c r="V257" s="140">
        <f ca="1"/>
        <v>5.9051227627131442E-2</v>
      </c>
      <c r="W257" s="139">
        <f ca="1"/>
        <v>0</v>
      </c>
      <c r="X257" s="165">
        <f ca="1"/>
        <v>0</v>
      </c>
      <c r="Y257" s="165">
        <f ca="1"/>
        <v>2.5322624676551442E-3</v>
      </c>
      <c r="Z257" s="165">
        <f ca="1"/>
        <v>0</v>
      </c>
      <c r="AA257" s="165">
        <f ca="1"/>
        <v>1.3695856425663844E-2</v>
      </c>
      <c r="AB257" s="165">
        <f ca="1"/>
        <v>0</v>
      </c>
      <c r="AC257" s="165">
        <f ca="1"/>
        <v>2.9962419996140799E-2</v>
      </c>
      <c r="AD257" s="165">
        <f ca="1"/>
        <v>4.265135463454206E-2</v>
      </c>
      <c r="AE257" s="140">
        <f ca="1"/>
        <v>6.1910238676186058E-2</v>
      </c>
      <c r="AI257" s="137"/>
      <c r="AK257" s="137"/>
      <c r="AM257" s="137"/>
      <c r="AN257" s="137"/>
      <c r="AO257" s="137"/>
      <c r="AR257" s="137"/>
      <c r="AT257" s="137"/>
      <c r="AV257" s="137"/>
      <c r="AW257" s="137"/>
      <c r="AX257" s="137"/>
    </row>
    <row r="258" spans="1:50" s="79" customFormat="1" ht="10.199999999999999" x14ac:dyDescent="0.2">
      <c r="A258" s="97">
        <f t="shared" ca="1" si="5"/>
        <v>247</v>
      </c>
      <c r="B258" s="68" t="s">
        <v>335</v>
      </c>
      <c r="C258" s="98">
        <v>0.4</v>
      </c>
      <c r="D258" s="69" t="s">
        <v>67</v>
      </c>
      <c r="E258" s="138" t="s">
        <v>87</v>
      </c>
      <c r="F258" s="158" t="s">
        <v>87</v>
      </c>
      <c r="G258" s="158">
        <v>2.846E-3</v>
      </c>
      <c r="H258" s="158" t="s">
        <v>87</v>
      </c>
      <c r="I258" s="158">
        <v>4.3860000000000001E-3</v>
      </c>
      <c r="J258" s="158" t="s">
        <v>87</v>
      </c>
      <c r="K258" s="158">
        <v>7.0930000000000003E-3</v>
      </c>
      <c r="L258" s="158">
        <v>8.5389999999999997E-3</v>
      </c>
      <c r="M258" s="158">
        <v>1.0266000000000001E-2</v>
      </c>
      <c r="N258" s="139" cm="1">
        <f t="array" aca="1" ref="N258:AE258" ca="1">IF(OR(B258="",NOT($J$2)),"",GetStripDefaultProbability(A258,B258,Parameter_Date,CDSRollDate,E258:M258,SpreadCurveMaturities,D258,C258,$J$4,$J$6))</f>
        <v>0</v>
      </c>
      <c r="O258" s="165">
        <f ca="1"/>
        <v>0</v>
      </c>
      <c r="P258" s="165">
        <f ca="1"/>
        <v>5.0110233316749131E-3</v>
      </c>
      <c r="Q258" s="165">
        <f ca="1"/>
        <v>0</v>
      </c>
      <c r="R258" s="165">
        <f ca="1"/>
        <v>2.2428342104435117E-2</v>
      </c>
      <c r="S258" s="165">
        <f ca="1"/>
        <v>0</v>
      </c>
      <c r="T258" s="165">
        <f ca="1"/>
        <v>6.0714199979845396E-2</v>
      </c>
      <c r="U258" s="165">
        <f ca="1"/>
        <v>0.10132656131628359</v>
      </c>
      <c r="V258" s="140">
        <f ca="1"/>
        <v>0.17149814862858626</v>
      </c>
      <c r="W258" s="139">
        <f ca="1"/>
        <v>0</v>
      </c>
      <c r="X258" s="165">
        <f ca="1"/>
        <v>0</v>
      </c>
      <c r="Y258" s="165">
        <f ca="1"/>
        <v>5.2469735697836528E-3</v>
      </c>
      <c r="Z258" s="165">
        <f ca="1"/>
        <v>0</v>
      </c>
      <c r="AA258" s="165">
        <f ca="1"/>
        <v>2.3536533327802034E-2</v>
      </c>
      <c r="AB258" s="165">
        <f ca="1"/>
        <v>0</v>
      </c>
      <c r="AC258" s="165">
        <f ca="1"/>
        <v>6.3664325755013795E-2</v>
      </c>
      <c r="AD258" s="165">
        <f ca="1"/>
        <v>0.10617080509551058</v>
      </c>
      <c r="AE258" s="140">
        <f ca="1"/>
        <v>0.17947399793775942</v>
      </c>
      <c r="AI258" s="137"/>
      <c r="AK258" s="137"/>
      <c r="AM258" s="137"/>
      <c r="AN258" s="137"/>
      <c r="AO258" s="137"/>
      <c r="AR258" s="137"/>
      <c r="AT258" s="137"/>
      <c r="AV258" s="137"/>
      <c r="AW258" s="137"/>
      <c r="AX258" s="137"/>
    </row>
    <row r="259" spans="1:50" s="79" customFormat="1" ht="10.199999999999999" x14ac:dyDescent="0.2">
      <c r="A259" s="97">
        <f t="shared" ca="1" si="5"/>
        <v>248</v>
      </c>
      <c r="B259" s="68" t="s">
        <v>336</v>
      </c>
      <c r="C259" s="98">
        <v>0.4</v>
      </c>
      <c r="D259" s="69" t="s">
        <v>67</v>
      </c>
      <c r="E259" s="138" t="s">
        <v>87</v>
      </c>
      <c r="F259" s="158" t="s">
        <v>87</v>
      </c>
      <c r="G259" s="158">
        <v>1.1789999999999999E-3</v>
      </c>
      <c r="H259" s="158" t="s">
        <v>87</v>
      </c>
      <c r="I259" s="158">
        <v>2.5530000000000001E-3</v>
      </c>
      <c r="J259" s="158" t="s">
        <v>87</v>
      </c>
      <c r="K259" s="158">
        <v>4.5840000000000004E-3</v>
      </c>
      <c r="L259" s="158">
        <v>5.6449999999999998E-3</v>
      </c>
      <c r="M259" s="158">
        <v>6.6100000000000004E-3</v>
      </c>
      <c r="N259" s="139" cm="1">
        <f t="array" aca="1" ref="N259:AE259" ca="1">IF(OR(B259="",NOT($J$2)),"",GetStripDefaultProbability(A259,B259,Parameter_Date,CDSRollDate,E259:M259,SpreadCurveMaturities,D259,C259,$J$4,$J$6))</f>
        <v>0</v>
      </c>
      <c r="O259" s="165">
        <f ca="1"/>
        <v>0</v>
      </c>
      <c r="P259" s="165">
        <f ca="1"/>
        <v>2.0789245946136736E-3</v>
      </c>
      <c r="Q259" s="165">
        <f ca="1"/>
        <v>0</v>
      </c>
      <c r="R259" s="165">
        <f ca="1"/>
        <v>1.317204072510858E-2</v>
      </c>
      <c r="S259" s="165">
        <f ca="1"/>
        <v>0</v>
      </c>
      <c r="T259" s="165">
        <f ca="1"/>
        <v>3.9804548740981827E-2</v>
      </c>
      <c r="U259" s="165">
        <f ca="1"/>
        <v>6.8292681583027037E-2</v>
      </c>
      <c r="V259" s="140">
        <f ca="1"/>
        <v>0.11303598613313359</v>
      </c>
      <c r="W259" s="139">
        <f ca="1"/>
        <v>0</v>
      </c>
      <c r="X259" s="165">
        <f ca="1"/>
        <v>0</v>
      </c>
      <c r="Y259" s="165">
        <f ca="1"/>
        <v>2.2452309145880589E-3</v>
      </c>
      <c r="Z259" s="165">
        <f ca="1"/>
        <v>0</v>
      </c>
      <c r="AA259" s="165">
        <f ca="1"/>
        <v>1.3821175295278376E-2</v>
      </c>
      <c r="AB259" s="165">
        <f ca="1"/>
        <v>0</v>
      </c>
      <c r="AC259" s="165">
        <f ca="1"/>
        <v>4.1754411208288489E-2</v>
      </c>
      <c r="AD259" s="165">
        <f ca="1"/>
        <v>7.1605801631280941E-2</v>
      </c>
      <c r="AE259" s="140">
        <f ca="1"/>
        <v>0.1184257078659029</v>
      </c>
      <c r="AI259" s="137"/>
      <c r="AK259" s="137"/>
      <c r="AM259" s="137"/>
      <c r="AN259" s="137"/>
      <c r="AO259" s="137"/>
      <c r="AR259" s="137"/>
      <c r="AT259" s="137"/>
      <c r="AV259" s="137"/>
      <c r="AW259" s="137"/>
      <c r="AX259" s="137"/>
    </row>
    <row r="260" spans="1:50" s="79" customFormat="1" ht="10.199999999999999" x14ac:dyDescent="0.2">
      <c r="A260" s="97">
        <f t="shared" ca="1" si="5"/>
        <v>249</v>
      </c>
      <c r="B260" s="68" t="s">
        <v>337</v>
      </c>
      <c r="C260" s="98">
        <v>0.4</v>
      </c>
      <c r="D260" s="69" t="s">
        <v>67</v>
      </c>
      <c r="E260" s="138" t="s">
        <v>87</v>
      </c>
      <c r="F260" s="158" t="s">
        <v>87</v>
      </c>
      <c r="G260" s="158">
        <v>5.7700000000000004E-4</v>
      </c>
      <c r="H260" s="158" t="s">
        <v>87</v>
      </c>
      <c r="I260" s="158">
        <v>1.15E-3</v>
      </c>
      <c r="J260" s="158" t="s">
        <v>87</v>
      </c>
      <c r="K260" s="158">
        <v>1.9780000000000002E-3</v>
      </c>
      <c r="L260" s="158">
        <v>2.5760000000000002E-3</v>
      </c>
      <c r="M260" s="158">
        <v>3.3579999999999999E-3</v>
      </c>
      <c r="N260" s="139" cm="1">
        <f t="array" aca="1" ref="N260:AE260" ca="1">IF(OR(B260="",NOT($J$2)),"",GetStripDefaultProbability(A260,B260,Parameter_Date,CDSRollDate,E260:M260,SpreadCurveMaturities,D260,C260,$J$4,$J$6))</f>
        <v>0</v>
      </c>
      <c r="O260" s="165">
        <f ca="1"/>
        <v>0</v>
      </c>
      <c r="P260" s="165">
        <f ca="1"/>
        <v>1.0179576533111412E-3</v>
      </c>
      <c r="Q260" s="165">
        <f ca="1"/>
        <v>0</v>
      </c>
      <c r="R260" s="165">
        <f ca="1"/>
        <v>5.9446679641463884E-3</v>
      </c>
      <c r="S260" s="165">
        <f ca="1"/>
        <v>0</v>
      </c>
      <c r="T260" s="165">
        <f ca="1"/>
        <v>1.7271074184546986E-2</v>
      </c>
      <c r="U260" s="165">
        <f ca="1"/>
        <v>3.1705795107160095E-2</v>
      </c>
      <c r="V260" s="140">
        <f ca="1"/>
        <v>5.9742938072880447E-2</v>
      </c>
      <c r="W260" s="139">
        <f ca="1"/>
        <v>0</v>
      </c>
      <c r="X260" s="165">
        <f ca="1"/>
        <v>0</v>
      </c>
      <c r="Y260" s="165">
        <f ca="1"/>
        <v>1.1844407863720319E-3</v>
      </c>
      <c r="Z260" s="165">
        <f ca="1"/>
        <v>0</v>
      </c>
      <c r="AA260" s="165">
        <f ca="1"/>
        <v>6.4415713939680597E-3</v>
      </c>
      <c r="AB260" s="165">
        <f ca="1"/>
        <v>0</v>
      </c>
      <c r="AC260" s="165">
        <f ca="1"/>
        <v>1.8089673825535391E-2</v>
      </c>
      <c r="AD260" s="165">
        <f ca="1"/>
        <v>3.324070847718652E-2</v>
      </c>
      <c r="AE260" s="140">
        <f ca="1"/>
        <v>6.2622312918362288E-2</v>
      </c>
      <c r="AI260" s="137"/>
      <c r="AK260" s="137"/>
      <c r="AM260" s="137"/>
      <c r="AN260" s="137"/>
      <c r="AO260" s="137"/>
      <c r="AR260" s="137"/>
      <c r="AT260" s="137"/>
      <c r="AV260" s="137"/>
      <c r="AW260" s="137"/>
      <c r="AX260" s="137"/>
    </row>
    <row r="261" spans="1:50" s="79" customFormat="1" ht="10.199999999999999" x14ac:dyDescent="0.2">
      <c r="A261" s="97">
        <f t="shared" ca="1" si="5"/>
        <v>250</v>
      </c>
      <c r="B261" s="68" t="s">
        <v>338</v>
      </c>
      <c r="C261" s="98">
        <v>0.4</v>
      </c>
      <c r="D261" s="69" t="s">
        <v>67</v>
      </c>
      <c r="E261" s="138" t="s">
        <v>87</v>
      </c>
      <c r="F261" s="158" t="s">
        <v>87</v>
      </c>
      <c r="G261" s="158">
        <v>2.5500000000000002E-3</v>
      </c>
      <c r="H261" s="158" t="s">
        <v>87</v>
      </c>
      <c r="I261" s="158">
        <v>3.8579999999999999E-3</v>
      </c>
      <c r="J261" s="158" t="s">
        <v>87</v>
      </c>
      <c r="K261" s="158">
        <v>4.9699999999999996E-3</v>
      </c>
      <c r="L261" s="158">
        <v>5.5579999999999996E-3</v>
      </c>
      <c r="M261" s="158">
        <v>6.3429999999999997E-3</v>
      </c>
      <c r="N261" s="139" cm="1">
        <f t="array" aca="1" ref="N261:AE261" ca="1">IF(OR(B261="",NOT($J$2)),"",GetStripDefaultProbability(A261,B261,Parameter_Date,CDSRollDate,E261:M261,SpreadCurveMaturities,D261,C261,$J$4,$J$6))</f>
        <v>0</v>
      </c>
      <c r="O261" s="165">
        <f ca="1"/>
        <v>0</v>
      </c>
      <c r="P261" s="165">
        <f ca="1"/>
        <v>4.4910109295022149E-3</v>
      </c>
      <c r="Q261" s="165">
        <f ca="1"/>
        <v>0</v>
      </c>
      <c r="R261" s="165">
        <f ca="1"/>
        <v>1.974500251314848E-2</v>
      </c>
      <c r="S261" s="165">
        <f ca="1"/>
        <v>0</v>
      </c>
      <c r="T261" s="165">
        <f ca="1"/>
        <v>4.2274945469774061E-2</v>
      </c>
      <c r="U261" s="165">
        <f ca="1"/>
        <v>6.5751841705936176E-2</v>
      </c>
      <c r="V261" s="140">
        <f ca="1"/>
        <v>0.1066852173729701</v>
      </c>
      <c r="W261" s="139">
        <f ca="1"/>
        <v>0</v>
      </c>
      <c r="X261" s="165">
        <f ca="1"/>
        <v>0</v>
      </c>
      <c r="Y261" s="165">
        <f ca="1"/>
        <v>4.7025341145617849E-3</v>
      </c>
      <c r="Z261" s="165">
        <f ca="1"/>
        <v>0</v>
      </c>
      <c r="AA261" s="165">
        <f ca="1"/>
        <v>2.0722145942762338E-2</v>
      </c>
      <c r="AB261" s="165">
        <f ca="1"/>
        <v>0</v>
      </c>
      <c r="AC261" s="165">
        <f ca="1"/>
        <v>4.4345954932680676E-2</v>
      </c>
      <c r="AD261" s="165">
        <f ca="1"/>
        <v>6.8939584376201735E-2</v>
      </c>
      <c r="AE261" s="140">
        <f ca="1"/>
        <v>0.11177106945384074</v>
      </c>
      <c r="AI261" s="137"/>
      <c r="AK261" s="137"/>
      <c r="AM261" s="137"/>
      <c r="AN261" s="137"/>
      <c r="AO261" s="137"/>
      <c r="AR261" s="137"/>
      <c r="AT261" s="137"/>
      <c r="AV261" s="137"/>
      <c r="AW261" s="137"/>
      <c r="AX261" s="137"/>
    </row>
    <row r="262" spans="1:50" s="79" customFormat="1" ht="10.199999999999999" x14ac:dyDescent="0.2">
      <c r="A262" s="97">
        <f t="shared" ca="1" si="5"/>
        <v>251</v>
      </c>
      <c r="B262" s="68" t="s">
        <v>339</v>
      </c>
      <c r="C262" s="98">
        <v>0.4</v>
      </c>
      <c r="D262" s="69" t="s">
        <v>67</v>
      </c>
      <c r="E262" s="138" t="s">
        <v>87</v>
      </c>
      <c r="F262" s="158" t="s">
        <v>87</v>
      </c>
      <c r="G262" s="158">
        <v>2.5166999999999998E-2</v>
      </c>
      <c r="H262" s="158" t="s">
        <v>87</v>
      </c>
      <c r="I262" s="158">
        <v>2.5009E-2</v>
      </c>
      <c r="J262" s="158" t="s">
        <v>87</v>
      </c>
      <c r="K262" s="158">
        <v>2.265E-2</v>
      </c>
      <c r="L262" s="158">
        <v>2.1706E-2</v>
      </c>
      <c r="M262" s="158">
        <v>2.0763E-2</v>
      </c>
      <c r="N262" s="139" cm="1">
        <f t="array" aca="1" ref="N262:AE262" ca="1">IF(OR(B262="",NOT($J$2)),"",GetStripDefaultProbability(A262,B262,Parameter_Date,CDSRollDate,E262:M262,SpreadCurveMaturities,D262,C262,$J$4,$J$6))</f>
        <v>0</v>
      </c>
      <c r="O262" s="165">
        <f ca="1"/>
        <v>0</v>
      </c>
      <c r="P262" s="165">
        <f ca="1"/>
        <v>4.3463988407034471E-2</v>
      </c>
      <c r="Q262" s="165">
        <f ca="1"/>
        <v>0</v>
      </c>
      <c r="R262" s="165">
        <f ca="1"/>
        <v>0.12016779071803751</v>
      </c>
      <c r="S262" s="165">
        <f ca="1"/>
        <v>0</v>
      </c>
      <c r="T262" s="165">
        <f ca="1"/>
        <v>0.17234005118643447</v>
      </c>
      <c r="U262" s="165">
        <f ca="1"/>
        <v>0.2221337072642573</v>
      </c>
      <c r="V262" s="140">
        <f ca="1"/>
        <v>0.28731977371173179</v>
      </c>
      <c r="W262" s="139">
        <f ca="1"/>
        <v>0</v>
      </c>
      <c r="X262" s="165">
        <f ca="1"/>
        <v>0</v>
      </c>
      <c r="Y262" s="165">
        <f ca="1"/>
        <v>4.5571892259509639E-2</v>
      </c>
      <c r="Z262" s="165">
        <f ca="1"/>
        <v>0</v>
      </c>
      <c r="AA262" s="165">
        <f ca="1"/>
        <v>0.12578273545409657</v>
      </c>
      <c r="AB262" s="165">
        <f ca="1"/>
        <v>0</v>
      </c>
      <c r="AC262" s="165">
        <f ca="1"/>
        <v>0.18007005719334546</v>
      </c>
      <c r="AD262" s="165">
        <f ca="1"/>
        <v>0.23173249453573597</v>
      </c>
      <c r="AE262" s="140">
        <f ca="1"/>
        <v>0.29908339763247027</v>
      </c>
      <c r="AI262" s="137"/>
      <c r="AK262" s="137"/>
      <c r="AM262" s="137"/>
      <c r="AN262" s="137"/>
      <c r="AO262" s="137"/>
      <c r="AR262" s="137"/>
      <c r="AT262" s="137"/>
      <c r="AV262" s="137"/>
      <c r="AW262" s="137"/>
      <c r="AX262" s="137"/>
    </row>
    <row r="263" spans="1:50" s="79" customFormat="1" ht="10.199999999999999" x14ac:dyDescent="0.2">
      <c r="A263" s="97">
        <f t="shared" ca="1" si="5"/>
        <v>252</v>
      </c>
      <c r="B263" s="68" t="s">
        <v>340</v>
      </c>
      <c r="C263" s="98">
        <v>0.4</v>
      </c>
      <c r="D263" s="69" t="s">
        <v>67</v>
      </c>
      <c r="E263" s="138" t="s">
        <v>87</v>
      </c>
      <c r="F263" s="158" t="s">
        <v>87</v>
      </c>
      <c r="G263" s="158">
        <v>4.4299999999999999E-3</v>
      </c>
      <c r="H263" s="158" t="s">
        <v>87</v>
      </c>
      <c r="I263" s="158">
        <v>7.8539999999999999E-3</v>
      </c>
      <c r="J263" s="158" t="s">
        <v>87</v>
      </c>
      <c r="K263" s="158">
        <v>1.235E-2</v>
      </c>
      <c r="L263" s="158">
        <v>1.4572E-2</v>
      </c>
      <c r="M263" s="158">
        <v>1.7569000000000001E-2</v>
      </c>
      <c r="N263" s="139" cm="1">
        <f t="array" aca="1" ref="N263:AE263" ca="1">IF(OR(B263="",NOT($J$2)),"",GetStripDefaultProbability(A263,B263,Parameter_Date,CDSRollDate,E263:M263,SpreadCurveMaturities,D263,C263,$J$4,$J$6))</f>
        <v>0</v>
      </c>
      <c r="O263" s="165">
        <f ca="1"/>
        <v>0</v>
      </c>
      <c r="P263" s="165">
        <f ca="1"/>
        <v>7.7892249134429159E-3</v>
      </c>
      <c r="Q263" s="165">
        <f ca="1"/>
        <v>0</v>
      </c>
      <c r="R263" s="165">
        <f ca="1"/>
        <v>3.9959113976518523E-2</v>
      </c>
      <c r="S263" s="165">
        <f ca="1"/>
        <v>0</v>
      </c>
      <c r="T263" s="165">
        <f ca="1"/>
        <v>0.10389272942148275</v>
      </c>
      <c r="U263" s="165">
        <f ca="1"/>
        <v>0.16772417037049869</v>
      </c>
      <c r="V263" s="140">
        <f ca="1"/>
        <v>0.27947630191713779</v>
      </c>
      <c r="W263" s="139">
        <f ca="1"/>
        <v>0</v>
      </c>
      <c r="X263" s="165">
        <f ca="1"/>
        <v>0</v>
      </c>
      <c r="Y263" s="165">
        <f ca="1"/>
        <v>8.1768021936740043E-3</v>
      </c>
      <c r="Z263" s="165">
        <f ca="1"/>
        <v>0</v>
      </c>
      <c r="AA263" s="165">
        <f ca="1"/>
        <v>4.1910858133497486E-2</v>
      </c>
      <c r="AB263" s="165">
        <f ca="1"/>
        <v>0</v>
      </c>
      <c r="AC263" s="165">
        <f ca="1"/>
        <v>0.10887721607641854</v>
      </c>
      <c r="AD263" s="165">
        <f ca="1"/>
        <v>0.17552722037396884</v>
      </c>
      <c r="AE263" s="140">
        <f ca="1"/>
        <v>0.29177499610848434</v>
      </c>
      <c r="AI263" s="137"/>
      <c r="AK263" s="137"/>
      <c r="AM263" s="137"/>
      <c r="AN263" s="137"/>
      <c r="AO263" s="137"/>
      <c r="AR263" s="137"/>
      <c r="AT263" s="137"/>
      <c r="AV263" s="137"/>
      <c r="AW263" s="137"/>
      <c r="AX263" s="137"/>
    </row>
    <row r="264" spans="1:50" s="79" customFormat="1" ht="10.199999999999999" x14ac:dyDescent="0.2">
      <c r="A264" s="97">
        <f t="shared" ca="1" si="5"/>
        <v>253</v>
      </c>
      <c r="B264" s="68" t="s">
        <v>341</v>
      </c>
      <c r="C264" s="98">
        <v>0.4</v>
      </c>
      <c r="D264" s="69" t="s">
        <v>66</v>
      </c>
      <c r="E264" s="138" t="s">
        <v>87</v>
      </c>
      <c r="F264" s="158">
        <v>2.2000000000000001E-3</v>
      </c>
      <c r="G264" s="158">
        <v>2.8999999999999998E-3</v>
      </c>
      <c r="H264" s="158">
        <v>4.7999999999999996E-3</v>
      </c>
      <c r="I264" s="158">
        <v>6.8999999999999999E-3</v>
      </c>
      <c r="J264" s="158">
        <v>9.7000000000000003E-3</v>
      </c>
      <c r="K264" s="158">
        <v>1.2E-2</v>
      </c>
      <c r="L264" s="158">
        <v>1.5100000000000001E-2</v>
      </c>
      <c r="M264" s="158">
        <v>1.7399999999999999E-2</v>
      </c>
      <c r="N264" s="139" cm="1">
        <f t="array" aca="1" ref="N264:AE264" ca="1">IF(OR(B264="",NOT($J$2)),"",GetStripDefaultProbability(A264,B264,Parameter_Date,CDSRollDate,E264:M264,SpreadCurveMaturities,D264,C264,$J$4,$J$6))</f>
        <v>0</v>
      </c>
      <c r="O264" s="165">
        <f ca="1"/>
        <v>2.0509611578531928E-3</v>
      </c>
      <c r="P264" s="165">
        <f ca="1"/>
        <v>5.1229681977726926E-3</v>
      </c>
      <c r="Q264" s="165">
        <f ca="1"/>
        <v>1.6591439943123731E-2</v>
      </c>
      <c r="R264" s="165">
        <f ca="1"/>
        <v>3.5547458086096717E-2</v>
      </c>
      <c r="S264" s="165">
        <f ca="1"/>
        <v>6.6504331619198997E-2</v>
      </c>
      <c r="T264" s="165">
        <f ca="1"/>
        <v>0.10205144279148581</v>
      </c>
      <c r="U264" s="165">
        <f ca="1"/>
        <v>0.17539686126901033</v>
      </c>
      <c r="V264" s="140">
        <f ca="1"/>
        <v>0.27543568499832727</v>
      </c>
      <c r="W264" s="139">
        <f ca="1"/>
        <v>0</v>
      </c>
      <c r="X264" s="165">
        <f ca="1"/>
        <v>2.15338935736753E-3</v>
      </c>
      <c r="Y264" s="165">
        <f ca="1"/>
        <v>5.3633677643358801E-3</v>
      </c>
      <c r="Z264" s="165">
        <f ca="1"/>
        <v>1.7415432742450165E-2</v>
      </c>
      <c r="AA264" s="165">
        <f ca="1"/>
        <v>3.7299884762793889E-2</v>
      </c>
      <c r="AB264" s="165">
        <f ca="1"/>
        <v>6.9748024945233356E-2</v>
      </c>
      <c r="AC264" s="165">
        <f ca="1"/>
        <v>0.10696436511066176</v>
      </c>
      <c r="AD264" s="165">
        <f ca="1"/>
        <v>0.18358135585780122</v>
      </c>
      <c r="AE264" s="140">
        <f ca="1"/>
        <v>0.28757221838510449</v>
      </c>
      <c r="AH264" s="137"/>
      <c r="AI264" s="137"/>
      <c r="AJ264" s="137"/>
      <c r="AK264" s="137"/>
      <c r="AL264" s="137"/>
      <c r="AM264" s="137"/>
      <c r="AN264" s="137"/>
      <c r="AO264" s="137"/>
      <c r="AQ264" s="137"/>
      <c r="AR264" s="137"/>
      <c r="AS264" s="137"/>
      <c r="AT264" s="137"/>
      <c r="AU264" s="137"/>
      <c r="AV264" s="137"/>
      <c r="AW264" s="137"/>
      <c r="AX264" s="137"/>
    </row>
    <row r="265" spans="1:50" s="79" customFormat="1" ht="10.199999999999999" x14ac:dyDescent="0.2">
      <c r="A265" s="97">
        <f t="shared" ca="1" si="5"/>
        <v>254</v>
      </c>
      <c r="B265" s="68" t="s">
        <v>342</v>
      </c>
      <c r="C265" s="98">
        <v>0.4</v>
      </c>
      <c r="D265" s="69" t="s">
        <v>66</v>
      </c>
      <c r="E265" s="138" t="s">
        <v>87</v>
      </c>
      <c r="F265" s="158">
        <v>5.4000000000000003E-3</v>
      </c>
      <c r="G265" s="158">
        <v>5.4000000000000003E-3</v>
      </c>
      <c r="H265" s="158">
        <v>8.0999999999999996E-3</v>
      </c>
      <c r="I265" s="158">
        <v>9.7999999999999997E-3</v>
      </c>
      <c r="J265" s="158" t="s">
        <v>87</v>
      </c>
      <c r="K265" s="158">
        <v>1.2500000000000001E-2</v>
      </c>
      <c r="L265" s="158">
        <v>1.4800000000000001E-2</v>
      </c>
      <c r="M265" s="158">
        <v>1.6E-2</v>
      </c>
      <c r="N265" s="139" cm="1">
        <f t="array" aca="1" ref="N265:AE265" ca="1">IF(OR(B265="",NOT($J$2)),"",GetStripDefaultProbability(A265,B265,Parameter_Date,CDSRollDate,E265:M265,SpreadCurveMaturities,D265,C265,$J$4,$J$6))</f>
        <v>0</v>
      </c>
      <c r="O265" s="165">
        <f ca="1"/>
        <v>5.0266941690249034E-3</v>
      </c>
      <c r="P265" s="165">
        <f ca="1"/>
        <v>9.4862139463658401E-3</v>
      </c>
      <c r="Q265" s="165">
        <f ca="1"/>
        <v>2.7788595835711249E-2</v>
      </c>
      <c r="R265" s="165">
        <f ca="1"/>
        <v>4.9781804261216256E-2</v>
      </c>
      <c r="S265" s="165">
        <f ca="1"/>
        <v>0</v>
      </c>
      <c r="T265" s="165">
        <f ca="1"/>
        <v>0.10368113070006846</v>
      </c>
      <c r="U265" s="165">
        <f ca="1"/>
        <v>0.16845396792474698</v>
      </c>
      <c r="V265" s="140">
        <f ca="1"/>
        <v>0.24893946055517968</v>
      </c>
      <c r="W265" s="139">
        <f ca="1"/>
        <v>0</v>
      </c>
      <c r="X265" s="165">
        <f ca="1"/>
        <v>5.2773002692817483E-3</v>
      </c>
      <c r="Y265" s="165">
        <f ca="1"/>
        <v>9.9581103279560157E-3</v>
      </c>
      <c r="Z265" s="165">
        <f ca="1"/>
        <v>2.9159547353508009E-2</v>
      </c>
      <c r="AA265" s="165">
        <f ca="1"/>
        <v>5.2214932927120983E-2</v>
      </c>
      <c r="AB265" s="165">
        <f ca="1"/>
        <v>0</v>
      </c>
      <c r="AC265" s="165">
        <f ca="1"/>
        <v>0.10863170671547784</v>
      </c>
      <c r="AD265" s="165">
        <f ca="1"/>
        <v>0.17626021072919507</v>
      </c>
      <c r="AE265" s="140">
        <f ca="1"/>
        <v>0.25991071500466079</v>
      </c>
      <c r="AH265" s="137"/>
      <c r="AI265" s="137"/>
      <c r="AJ265" s="137"/>
      <c r="AK265" s="137"/>
      <c r="AM265" s="137"/>
      <c r="AN265" s="137"/>
      <c r="AO265" s="137"/>
      <c r="AQ265" s="137"/>
      <c r="AR265" s="137"/>
      <c r="AS265" s="137"/>
      <c r="AT265" s="137"/>
      <c r="AV265" s="137"/>
      <c r="AW265" s="137"/>
      <c r="AX265" s="137"/>
    </row>
    <row r="266" spans="1:50" s="79" customFormat="1" ht="10.199999999999999" x14ac:dyDescent="0.2">
      <c r="A266" s="97">
        <f t="shared" ca="1" si="5"/>
        <v>255</v>
      </c>
      <c r="B266" s="68" t="s">
        <v>343</v>
      </c>
      <c r="C266" s="98">
        <v>0.4</v>
      </c>
      <c r="D266" s="69" t="s">
        <v>67</v>
      </c>
      <c r="E266" s="138" t="s">
        <v>87</v>
      </c>
      <c r="F266" s="158" t="s">
        <v>87</v>
      </c>
      <c r="G266" s="158">
        <v>3.7569999999999999E-3</v>
      </c>
      <c r="H266" s="158" t="s">
        <v>87</v>
      </c>
      <c r="I266" s="158">
        <v>8.1030000000000008E-3</v>
      </c>
      <c r="J266" s="158" t="s">
        <v>87</v>
      </c>
      <c r="K266" s="158">
        <v>1.2500000000000001E-2</v>
      </c>
      <c r="L266" s="158">
        <v>1.413E-2</v>
      </c>
      <c r="M266" s="158">
        <v>1.6403000000000001E-2</v>
      </c>
      <c r="N266" s="139" cm="1">
        <f t="array" aca="1" ref="N266:AE266" ca="1">IF(OR(B266="",NOT($J$2)),"",GetStripDefaultProbability(A266,B266,Parameter_Date,CDSRollDate,E266:M266,SpreadCurveMaturities,D266,C266,$J$4,$J$6))</f>
        <v>0</v>
      </c>
      <c r="O266" s="165">
        <f ca="1"/>
        <v>0</v>
      </c>
      <c r="P266" s="165">
        <f ca="1"/>
        <v>6.6097794009432054E-3</v>
      </c>
      <c r="Q266" s="165">
        <f ca="1"/>
        <v>0</v>
      </c>
      <c r="R266" s="165">
        <f ca="1"/>
        <v>4.1331779795198975E-2</v>
      </c>
      <c r="S266" s="165">
        <f ca="1"/>
        <v>0</v>
      </c>
      <c r="T266" s="165">
        <f ca="1"/>
        <v>0.10511974840181815</v>
      </c>
      <c r="U266" s="165">
        <f ca="1"/>
        <v>0.16202105525732158</v>
      </c>
      <c r="V266" s="140">
        <f ca="1"/>
        <v>0.25989207936755498</v>
      </c>
      <c r="W266" s="139">
        <f ca="1"/>
        <v>0</v>
      </c>
      <c r="X266" s="165">
        <f ca="1"/>
        <v>0</v>
      </c>
      <c r="Y266" s="165">
        <f ca="1"/>
        <v>6.9389171067880673E-3</v>
      </c>
      <c r="Z266" s="165">
        <f ca="1"/>
        <v>0</v>
      </c>
      <c r="AA266" s="165">
        <f ca="1"/>
        <v>4.334943639024369E-2</v>
      </c>
      <c r="AB266" s="165">
        <f ca="1"/>
        <v>0</v>
      </c>
      <c r="AC266" s="165">
        <f ca="1"/>
        <v>0.1101610534882147</v>
      </c>
      <c r="AD266" s="165">
        <f ca="1"/>
        <v>0.16956118873012049</v>
      </c>
      <c r="AE266" s="140">
        <f ca="1"/>
        <v>0.27138222278880864</v>
      </c>
      <c r="AI266" s="137"/>
      <c r="AK266" s="137"/>
      <c r="AM266" s="137"/>
      <c r="AN266" s="137"/>
      <c r="AO266" s="137"/>
      <c r="AR266" s="137"/>
      <c r="AT266" s="137"/>
      <c r="AV266" s="137"/>
      <c r="AW266" s="137"/>
      <c r="AX266" s="137"/>
    </row>
    <row r="267" spans="1:50" s="79" customFormat="1" ht="10.199999999999999" x14ac:dyDescent="0.2">
      <c r="A267" s="97">
        <f t="shared" ref="A267:A330" ca="1" si="6">IF(B267="","",A266+1)</f>
        <v>256</v>
      </c>
      <c r="B267" s="68" t="s">
        <v>344</v>
      </c>
      <c r="C267" s="98">
        <v>0.4</v>
      </c>
      <c r="D267" s="69" t="s">
        <v>67</v>
      </c>
      <c r="E267" s="138" t="s">
        <v>87</v>
      </c>
      <c r="F267" s="158" t="s">
        <v>87</v>
      </c>
      <c r="G267" s="158">
        <v>2.745E-3</v>
      </c>
      <c r="H267" s="158" t="s">
        <v>87</v>
      </c>
      <c r="I267" s="158">
        <v>5.0330000000000001E-3</v>
      </c>
      <c r="J267" s="158" t="s">
        <v>87</v>
      </c>
      <c r="K267" s="158">
        <v>7.5500000000000003E-3</v>
      </c>
      <c r="L267" s="158">
        <v>8.7220000000000006E-3</v>
      </c>
      <c r="M267" s="158">
        <v>9.8480000000000009E-3</v>
      </c>
      <c r="N267" s="139" cm="1">
        <f t="array" aca="1" ref="N267:AE267" ca="1">IF(OR(B267="",NOT($J$2)),"",GetStripDefaultProbability(A267,B267,Parameter_Date,CDSRollDate,E267:M267,SpreadCurveMaturities,D267,C267,$J$4,$J$6))</f>
        <v>0</v>
      </c>
      <c r="O267" s="165">
        <f ca="1"/>
        <v>0</v>
      </c>
      <c r="P267" s="165">
        <f ca="1"/>
        <v>4.8336169197978895E-3</v>
      </c>
      <c r="Q267" s="165">
        <f ca="1"/>
        <v>0</v>
      </c>
      <c r="R267" s="165">
        <f ca="1"/>
        <v>2.5774930790021133E-2</v>
      </c>
      <c r="S267" s="165">
        <f ca="1"/>
        <v>0</v>
      </c>
      <c r="T267" s="165">
        <f ca="1"/>
        <v>6.4344638417416E-2</v>
      </c>
      <c r="U267" s="165">
        <f ca="1"/>
        <v>0.10271651480298505</v>
      </c>
      <c r="V267" s="140">
        <f ca="1"/>
        <v>0.16235161832815248</v>
      </c>
      <c r="W267" s="139">
        <f ca="1"/>
        <v>0</v>
      </c>
      <c r="X267" s="165">
        <f ca="1"/>
        <v>0</v>
      </c>
      <c r="Y267" s="165">
        <f ca="1"/>
        <v>5.0612351950887202E-3</v>
      </c>
      <c r="Z267" s="165">
        <f ca="1"/>
        <v>0</v>
      </c>
      <c r="AA267" s="165">
        <f ca="1"/>
        <v>2.7046033413906656E-2</v>
      </c>
      <c r="AB267" s="165">
        <f ca="1"/>
        <v>0</v>
      </c>
      <c r="AC267" s="165">
        <f ca="1"/>
        <v>6.7464910158484215E-2</v>
      </c>
      <c r="AD267" s="165">
        <f ca="1"/>
        <v>0.10761754529265166</v>
      </c>
      <c r="AE267" s="140">
        <f ca="1"/>
        <v>0.16989567288375762</v>
      </c>
      <c r="AI267" s="137"/>
      <c r="AK267" s="137"/>
      <c r="AM267" s="137"/>
      <c r="AN267" s="137"/>
      <c r="AO267" s="137"/>
      <c r="AR267" s="137"/>
      <c r="AT267" s="137"/>
      <c r="AV267" s="137"/>
      <c r="AW267" s="137"/>
      <c r="AX267" s="137"/>
    </row>
    <row r="268" spans="1:50" s="79" customFormat="1" ht="10.199999999999999" x14ac:dyDescent="0.2">
      <c r="A268" s="97">
        <f t="shared" ca="1" si="6"/>
        <v>257</v>
      </c>
      <c r="B268" s="68" t="s">
        <v>345</v>
      </c>
      <c r="C268" s="98">
        <v>0.4</v>
      </c>
      <c r="D268" s="69" t="s">
        <v>67</v>
      </c>
      <c r="E268" s="138" t="s">
        <v>87</v>
      </c>
      <c r="F268" s="158" t="s">
        <v>87</v>
      </c>
      <c r="G268" s="158">
        <v>1.2830000000000001E-3</v>
      </c>
      <c r="H268" s="158" t="s">
        <v>87</v>
      </c>
      <c r="I268" s="158">
        <v>4.1999999999999997E-3</v>
      </c>
      <c r="J268" s="158" t="s">
        <v>87</v>
      </c>
      <c r="K268" s="158">
        <v>5.8999999999999999E-3</v>
      </c>
      <c r="L268" s="158">
        <v>7.7000000000000002E-3</v>
      </c>
      <c r="M268" s="158">
        <v>9.7000000000000003E-3</v>
      </c>
      <c r="N268" s="139" cm="1">
        <f t="array" aca="1" ref="N268:AE268" ca="1">IF(OR(B268="",NOT($J$2)),"",GetStripDefaultProbability(A268,B268,Parameter_Date,CDSRollDate,E268:M268,SpreadCurveMaturities,D268,C268,$J$4,$J$6))</f>
        <v>0</v>
      </c>
      <c r="O268" s="165">
        <f ca="1"/>
        <v>0</v>
      </c>
      <c r="P268" s="165">
        <f ca="1"/>
        <v>2.2621012773794691E-3</v>
      </c>
      <c r="Q268" s="165">
        <f ca="1"/>
        <v>0</v>
      </c>
      <c r="R268" s="165">
        <f ca="1"/>
        <v>2.1688745004773358E-2</v>
      </c>
      <c r="S268" s="165">
        <f ca="1"/>
        <v>0</v>
      </c>
      <c r="T268" s="165">
        <f ca="1"/>
        <v>5.0508918342410336E-2</v>
      </c>
      <c r="U268" s="165">
        <f ca="1"/>
        <v>9.234257355764286E-2</v>
      </c>
      <c r="V268" s="140">
        <f ca="1"/>
        <v>0.16461667210820874</v>
      </c>
      <c r="W268" s="139">
        <f ca="1"/>
        <v>0</v>
      </c>
      <c r="X268" s="165">
        <f ca="1"/>
        <v>0</v>
      </c>
      <c r="Y268" s="165">
        <f ca="1"/>
        <v>2.4283770704467411E-3</v>
      </c>
      <c r="Z268" s="165">
        <f ca="1"/>
        <v>0</v>
      </c>
      <c r="AA268" s="165">
        <f ca="1"/>
        <v>2.2756188088672413E-2</v>
      </c>
      <c r="AB268" s="165">
        <f ca="1"/>
        <v>0</v>
      </c>
      <c r="AC268" s="165">
        <f ca="1"/>
        <v>5.2970879351766587E-2</v>
      </c>
      <c r="AD268" s="165">
        <f ca="1"/>
        <v>9.6773090480665513E-2</v>
      </c>
      <c r="AE268" s="140">
        <f ca="1"/>
        <v>0.17232005771284131</v>
      </c>
      <c r="AI268" s="137"/>
      <c r="AK268" s="137"/>
      <c r="AM268" s="137"/>
      <c r="AN268" s="137"/>
      <c r="AO268" s="137"/>
      <c r="AR268" s="137"/>
      <c r="AT268" s="137"/>
      <c r="AV268" s="137"/>
      <c r="AW268" s="137"/>
      <c r="AX268" s="137"/>
    </row>
    <row r="269" spans="1:50" s="79" customFormat="1" ht="10.199999999999999" x14ac:dyDescent="0.2">
      <c r="A269" s="97">
        <f t="shared" ca="1" si="6"/>
        <v>258</v>
      </c>
      <c r="B269" s="68" t="s">
        <v>189</v>
      </c>
      <c r="C269" s="98">
        <v>0.4</v>
      </c>
      <c r="D269" s="69" t="s">
        <v>66</v>
      </c>
      <c r="E269" s="138" t="s">
        <v>87</v>
      </c>
      <c r="F269" s="158">
        <v>6.9999999999999999E-4</v>
      </c>
      <c r="G269" s="158">
        <v>1.4E-3</v>
      </c>
      <c r="H269" s="158">
        <v>2.5000000000000001E-3</v>
      </c>
      <c r="I269" s="158">
        <v>3.5999999999999999E-3</v>
      </c>
      <c r="J269" s="158" t="s">
        <v>87</v>
      </c>
      <c r="K269" s="158">
        <v>5.5999999999999999E-3</v>
      </c>
      <c r="L269" s="158">
        <v>7.0000000000000001E-3</v>
      </c>
      <c r="M269" s="158">
        <v>8.6E-3</v>
      </c>
      <c r="N269" s="139" cm="1">
        <f t="array" aca="1" ref="N269:AE269" ca="1">IF(OR(B269="",NOT($J$2)),"",GetStripDefaultProbability(A269,B269,Parameter_Date,CDSRollDate,E269:M269,SpreadCurveMaturities,D269,C269,$J$4,$J$6))</f>
        <v>0</v>
      </c>
      <c r="O269" s="165">
        <f ca="1"/>
        <v>6.5303425461338271E-4</v>
      </c>
      <c r="P269" s="165">
        <f ca="1"/>
        <v>2.4845156425371551E-3</v>
      </c>
      <c r="Q269" s="165">
        <f ca="1"/>
        <v>8.685826777107053E-3</v>
      </c>
      <c r="R269" s="165">
        <f ca="1"/>
        <v>1.867955505454999E-2</v>
      </c>
      <c r="S269" s="165">
        <f ca="1"/>
        <v>0</v>
      </c>
      <c r="T269" s="165">
        <f ca="1"/>
        <v>4.8233858247651362E-2</v>
      </c>
      <c r="U269" s="165">
        <f ca="1"/>
        <v>8.383657160206448E-2</v>
      </c>
      <c r="V269" s="140">
        <f ca="1"/>
        <v>0.1453208232064731</v>
      </c>
      <c r="W269" s="139">
        <f ca="1"/>
        <v>0</v>
      </c>
      <c r="X269" s="165">
        <f ca="1"/>
        <v>7.4628912209839804E-4</v>
      </c>
      <c r="Y269" s="165">
        <f ca="1"/>
        <v>2.6507543696420166E-3</v>
      </c>
      <c r="Z269" s="165">
        <f ca="1"/>
        <v>9.0987883096406152E-3</v>
      </c>
      <c r="AA269" s="165">
        <f ca="1"/>
        <v>1.9604228637601806E-2</v>
      </c>
      <c r="AB269" s="165">
        <f ca="1"/>
        <v>0</v>
      </c>
      <c r="AC269" s="165">
        <f ca="1"/>
        <v>5.0591663770621853E-2</v>
      </c>
      <c r="AD269" s="165">
        <f ca="1"/>
        <v>8.7878843567888221E-2</v>
      </c>
      <c r="AE269" s="140">
        <f ca="1"/>
        <v>0.1521665635865842</v>
      </c>
      <c r="AH269" s="137"/>
      <c r="AI269" s="137"/>
      <c r="AJ269" s="137"/>
      <c r="AK269" s="137"/>
      <c r="AM269" s="137"/>
      <c r="AN269" s="137"/>
      <c r="AO269" s="137"/>
      <c r="AQ269" s="137"/>
      <c r="AR269" s="137"/>
      <c r="AS269" s="137"/>
      <c r="AT269" s="137"/>
      <c r="AV269" s="137"/>
      <c r="AW269" s="137"/>
      <c r="AX269" s="137"/>
    </row>
    <row r="270" spans="1:50" s="79" customFormat="1" ht="10.199999999999999" x14ac:dyDescent="0.2">
      <c r="A270" s="97">
        <f t="shared" ca="1" si="6"/>
        <v>259</v>
      </c>
      <c r="B270" s="68" t="s">
        <v>346</v>
      </c>
      <c r="C270" s="98">
        <v>0.4</v>
      </c>
      <c r="D270" s="69" t="s">
        <v>67</v>
      </c>
      <c r="E270" s="138" t="s">
        <v>87</v>
      </c>
      <c r="F270" s="158" t="s">
        <v>87</v>
      </c>
      <c r="G270" s="158">
        <v>2.875E-3</v>
      </c>
      <c r="H270" s="158" t="s">
        <v>87</v>
      </c>
      <c r="I270" s="158">
        <v>1.1301E-2</v>
      </c>
      <c r="J270" s="158" t="s">
        <v>87</v>
      </c>
      <c r="K270" s="158">
        <v>1.15E-2</v>
      </c>
      <c r="L270" s="158">
        <v>1.0968E-2</v>
      </c>
      <c r="M270" s="158">
        <v>1.0647999999999999E-2</v>
      </c>
      <c r="N270" s="139" cm="1">
        <f t="array" aca="1" ref="N270:AE270" ca="1">IF(OR(B270="",NOT($J$2)),"",GetStripDefaultProbability(A270,B270,Parameter_Date,CDSRollDate,E270:M270,SpreadCurveMaturities,D270,C270,$J$4,$J$6))</f>
        <v>0</v>
      </c>
      <c r="O270" s="165">
        <f ca="1"/>
        <v>0</v>
      </c>
      <c r="P270" s="165">
        <f ca="1"/>
        <v>5.0619560170975797E-3</v>
      </c>
      <c r="Q270" s="165">
        <f ca="1"/>
        <v>0</v>
      </c>
      <c r="R270" s="165">
        <f ca="1"/>
        <v>5.7643807429516913E-2</v>
      </c>
      <c r="S270" s="165">
        <f ca="1"/>
        <v>0</v>
      </c>
      <c r="T270" s="165">
        <f ca="1"/>
        <v>9.447075502827873E-2</v>
      </c>
      <c r="U270" s="165">
        <f ca="1"/>
        <v>0.12212417601795889</v>
      </c>
      <c r="V270" s="140">
        <f ca="1"/>
        <v>0.16347655113929105</v>
      </c>
      <c r="W270" s="139">
        <f ca="1"/>
        <v>0</v>
      </c>
      <c r="X270" s="165">
        <f ca="1"/>
        <v>0</v>
      </c>
      <c r="Y270" s="165">
        <f ca="1"/>
        <v>5.3002980376257725E-3</v>
      </c>
      <c r="Z270" s="165">
        <f ca="1"/>
        <v>0</v>
      </c>
      <c r="AA270" s="165">
        <f ca="1"/>
        <v>6.046218303952211E-2</v>
      </c>
      <c r="AB270" s="165">
        <f ca="1"/>
        <v>0</v>
      </c>
      <c r="AC270" s="165">
        <f ca="1"/>
        <v>9.8962943217362431E-2</v>
      </c>
      <c r="AD270" s="165">
        <f ca="1"/>
        <v>0.1278223201957146</v>
      </c>
      <c r="AE270" s="140">
        <f ca="1"/>
        <v>0.17089860087686604</v>
      </c>
      <c r="AI270" s="137"/>
      <c r="AK270" s="137"/>
      <c r="AM270" s="137"/>
      <c r="AN270" s="137"/>
      <c r="AO270" s="137"/>
      <c r="AR270" s="137"/>
      <c r="AT270" s="137"/>
      <c r="AV270" s="137"/>
      <c r="AW270" s="137"/>
      <c r="AX270" s="137"/>
    </row>
    <row r="271" spans="1:50" s="79" customFormat="1" ht="10.199999999999999" x14ac:dyDescent="0.2">
      <c r="A271" s="97">
        <f t="shared" ca="1" si="6"/>
        <v>260</v>
      </c>
      <c r="B271" s="68" t="s">
        <v>347</v>
      </c>
      <c r="C271" s="98">
        <v>0.4</v>
      </c>
      <c r="D271" s="69" t="s">
        <v>67</v>
      </c>
      <c r="E271" s="138" t="s">
        <v>87</v>
      </c>
      <c r="F271" s="158" t="s">
        <v>87</v>
      </c>
      <c r="G271" s="158">
        <v>1.9629999999999999E-3</v>
      </c>
      <c r="H271" s="158" t="s">
        <v>87</v>
      </c>
      <c r="I271" s="158">
        <v>4.3169999999999997E-3</v>
      </c>
      <c r="J271" s="158" t="s">
        <v>87</v>
      </c>
      <c r="K271" s="158">
        <v>7.1500000000000001E-3</v>
      </c>
      <c r="L271" s="158">
        <v>8.0300000000000007E-3</v>
      </c>
      <c r="M271" s="158">
        <v>9.2399999999999999E-3</v>
      </c>
      <c r="N271" s="139" cm="1">
        <f t="array" aca="1" ref="N271:AE271" ca="1">IF(OR(B271="",NOT($J$2)),"",GetStripDefaultProbability(A271,B271,Parameter_Date,CDSRollDate,E271:M271,SpreadCurveMaturities,D271,C271,$J$4,$J$6))</f>
        <v>0</v>
      </c>
      <c r="O271" s="165">
        <f ca="1"/>
        <v>0</v>
      </c>
      <c r="P271" s="165">
        <f ca="1"/>
        <v>3.4589734094525593E-3</v>
      </c>
      <c r="Q271" s="165">
        <f ca="1"/>
        <v>0</v>
      </c>
      <c r="R271" s="165">
        <f ca="1"/>
        <v>2.2197029653581279E-2</v>
      </c>
      <c r="S271" s="165">
        <f ca="1"/>
        <v>0</v>
      </c>
      <c r="T271" s="165">
        <f ca="1"/>
        <v>6.1393692391997767E-2</v>
      </c>
      <c r="U271" s="165">
        <f ca="1"/>
        <v>9.4921053980502879E-2</v>
      </c>
      <c r="V271" s="140">
        <f ca="1"/>
        <v>0.15358749143902484</v>
      </c>
      <c r="W271" s="139">
        <f ca="1"/>
        <v>0</v>
      </c>
      <c r="X271" s="165">
        <f ca="1"/>
        <v>0</v>
      </c>
      <c r="Y271" s="165">
        <f ca="1"/>
        <v>3.6250497404880511E-3</v>
      </c>
      <c r="Z271" s="165">
        <f ca="1"/>
        <v>0</v>
      </c>
      <c r="AA271" s="165">
        <f ca="1"/>
        <v>2.3293774135632828E-2</v>
      </c>
      <c r="AB271" s="165">
        <f ca="1"/>
        <v>0</v>
      </c>
      <c r="AC271" s="165">
        <f ca="1"/>
        <v>6.4377141573106145E-2</v>
      </c>
      <c r="AD271" s="165">
        <f ca="1"/>
        <v>9.9469568374669026E-2</v>
      </c>
      <c r="AE271" s="140">
        <f ca="1"/>
        <v>0.16076323016959781</v>
      </c>
      <c r="AI271" s="137"/>
      <c r="AK271" s="137"/>
      <c r="AM271" s="137"/>
      <c r="AN271" s="137"/>
      <c r="AO271" s="137"/>
      <c r="AR271" s="137"/>
      <c r="AT271" s="137"/>
      <c r="AV271" s="137"/>
      <c r="AW271" s="137"/>
      <c r="AX271" s="137"/>
    </row>
    <row r="272" spans="1:50" s="79" customFormat="1" ht="10.199999999999999" x14ac:dyDescent="0.2">
      <c r="A272" s="97">
        <f t="shared" ca="1" si="6"/>
        <v>261</v>
      </c>
      <c r="B272" s="68" t="s">
        <v>348</v>
      </c>
      <c r="C272" s="98">
        <v>0.4</v>
      </c>
      <c r="D272" s="69" t="s">
        <v>67</v>
      </c>
      <c r="E272" s="138" t="s">
        <v>87</v>
      </c>
      <c r="F272" s="158" t="s">
        <v>87</v>
      </c>
      <c r="G272" s="158">
        <v>2E-3</v>
      </c>
      <c r="H272" s="158" t="s">
        <v>87</v>
      </c>
      <c r="I272" s="158">
        <v>3.5000000000000001E-3</v>
      </c>
      <c r="J272" s="158" t="s">
        <v>87</v>
      </c>
      <c r="K272" s="158">
        <v>5.0000000000000001E-3</v>
      </c>
      <c r="L272" s="158">
        <v>6.7999999999999996E-3</v>
      </c>
      <c r="M272" s="158">
        <v>8.6999999999999994E-3</v>
      </c>
      <c r="N272" s="139" cm="1">
        <f t="array" aca="1" ref="N272:AE272" ca="1">IF(OR(B272="",NOT($J$2)),"",GetStripDefaultProbability(A272,B272,Parameter_Date,CDSRollDate,E272:M272,SpreadCurveMaturities,D272,C272,$J$4,$J$6))</f>
        <v>0</v>
      </c>
      <c r="O272" s="165">
        <f ca="1"/>
        <v>0</v>
      </c>
      <c r="P272" s="165">
        <f ca="1"/>
        <v>3.5240564812459851E-3</v>
      </c>
      <c r="Q272" s="165">
        <f ca="1"/>
        <v>0</v>
      </c>
      <c r="R272" s="165">
        <f ca="1"/>
        <v>1.7970156230853851E-2</v>
      </c>
      <c r="S272" s="165">
        <f ca="1"/>
        <v>0</v>
      </c>
      <c r="T272" s="165">
        <f ca="1"/>
        <v>4.2833928615588768E-2</v>
      </c>
      <c r="U272" s="165">
        <f ca="1"/>
        <v>8.2112967633134248E-2</v>
      </c>
      <c r="V272" s="140">
        <f ca="1"/>
        <v>0.14920067028238548</v>
      </c>
      <c r="W272" s="139">
        <f ca="1"/>
        <v>0</v>
      </c>
      <c r="X272" s="165">
        <f ca="1"/>
        <v>0</v>
      </c>
      <c r="Y272" s="165">
        <f ca="1"/>
        <v>3.6901219660027129E-3</v>
      </c>
      <c r="Z272" s="165">
        <f ca="1"/>
        <v>0</v>
      </c>
      <c r="AA272" s="165">
        <f ca="1"/>
        <v>1.886039996828448E-2</v>
      </c>
      <c r="AB272" s="165">
        <f ca="1"/>
        <v>0</v>
      </c>
      <c r="AC272" s="165">
        <f ca="1"/>
        <v>4.4933103083586112E-2</v>
      </c>
      <c r="AD272" s="165">
        <f ca="1"/>
        <v>8.6076902933072907E-2</v>
      </c>
      <c r="AE272" s="140">
        <f ca="1"/>
        <v>0.15624218857663652</v>
      </c>
      <c r="AI272" s="137"/>
      <c r="AK272" s="137"/>
      <c r="AM272" s="137"/>
      <c r="AN272" s="137"/>
      <c r="AO272" s="137"/>
      <c r="AR272" s="137"/>
      <c r="AT272" s="137"/>
      <c r="AV272" s="137"/>
      <c r="AW272" s="137"/>
      <c r="AX272" s="137"/>
    </row>
    <row r="273" spans="1:50" s="79" customFormat="1" ht="10.199999999999999" x14ac:dyDescent="0.2">
      <c r="A273" s="97">
        <f t="shared" ca="1" si="6"/>
        <v>262</v>
      </c>
      <c r="B273" s="68" t="s">
        <v>349</v>
      </c>
      <c r="C273" s="98">
        <v>0.4</v>
      </c>
      <c r="D273" s="69" t="s">
        <v>67</v>
      </c>
      <c r="E273" s="138" t="s">
        <v>87</v>
      </c>
      <c r="F273" s="158" t="s">
        <v>87</v>
      </c>
      <c r="G273" s="158">
        <v>2.1810000000000002E-3</v>
      </c>
      <c r="H273" s="158" t="s">
        <v>87</v>
      </c>
      <c r="I273" s="158">
        <v>3.9830000000000004E-3</v>
      </c>
      <c r="J273" s="158" t="s">
        <v>87</v>
      </c>
      <c r="K273" s="158">
        <v>5.4999999999999997E-3</v>
      </c>
      <c r="L273" s="158">
        <v>6.0689999999999997E-3</v>
      </c>
      <c r="M273" s="158">
        <v>7.0169999999999998E-3</v>
      </c>
      <c r="N273" s="139" cm="1">
        <f t="array" aca="1" ref="N273:AE273" ca="1">IF(OR(B273="",NOT($J$2)),"",GetStripDefaultProbability(A273,B273,Parameter_Date,CDSRollDate,E273:M273,SpreadCurveMaturities,D273,C273,$J$4,$J$6))</f>
        <v>0</v>
      </c>
      <c r="O273" s="165">
        <f ca="1"/>
        <v>0</v>
      </c>
      <c r="P273" s="165">
        <f ca="1"/>
        <v>3.8423751171337006E-3</v>
      </c>
      <c r="Q273" s="165">
        <f ca="1"/>
        <v>0</v>
      </c>
      <c r="R273" s="165">
        <f ca="1"/>
        <v>2.0442055646550217E-2</v>
      </c>
      <c r="S273" s="165">
        <f ca="1"/>
        <v>0</v>
      </c>
      <c r="T273" s="165">
        <f ca="1"/>
        <v>4.6962279662327688E-2</v>
      </c>
      <c r="U273" s="165">
        <f ca="1"/>
        <v>7.1756730932088786E-2</v>
      </c>
      <c r="V273" s="140">
        <f ca="1"/>
        <v>0.11789317187826953</v>
      </c>
      <c r="W273" s="139">
        <f ca="1"/>
        <v>0</v>
      </c>
      <c r="X273" s="165">
        <f ca="1"/>
        <v>0</v>
      </c>
      <c r="Y273" s="165">
        <f ca="1"/>
        <v>4.0234103133915955E-3</v>
      </c>
      <c r="Z273" s="165">
        <f ca="1"/>
        <v>0</v>
      </c>
      <c r="AA273" s="165">
        <f ca="1"/>
        <v>2.1453316665320576E-2</v>
      </c>
      <c r="AB273" s="165">
        <f ca="1"/>
        <v>0</v>
      </c>
      <c r="AC273" s="165">
        <f ca="1"/>
        <v>4.925875954563852E-2</v>
      </c>
      <c r="AD273" s="165">
        <f ca="1"/>
        <v>7.5227083299108322E-2</v>
      </c>
      <c r="AE273" s="140">
        <f ca="1"/>
        <v>0.1234881704838009</v>
      </c>
      <c r="AI273" s="137"/>
      <c r="AK273" s="137"/>
      <c r="AM273" s="137"/>
      <c r="AN273" s="137"/>
      <c r="AO273" s="137"/>
      <c r="AR273" s="137"/>
      <c r="AT273" s="137"/>
      <c r="AV273" s="137"/>
      <c r="AW273" s="137"/>
      <c r="AX273" s="137"/>
    </row>
    <row r="274" spans="1:50" s="79" customFormat="1" ht="10.199999999999999" x14ac:dyDescent="0.2">
      <c r="A274" s="97">
        <f t="shared" ca="1" si="6"/>
        <v>263</v>
      </c>
      <c r="B274" s="68" t="s">
        <v>206</v>
      </c>
      <c r="C274" s="98">
        <v>0.4</v>
      </c>
      <c r="D274" s="69" t="s">
        <v>66</v>
      </c>
      <c r="E274" s="138" t="s">
        <v>87</v>
      </c>
      <c r="F274" s="158">
        <v>1E-3</v>
      </c>
      <c r="G274" s="158">
        <v>1.6000000000000001E-3</v>
      </c>
      <c r="H274" s="158">
        <v>2.3999999999999998E-3</v>
      </c>
      <c r="I274" s="158">
        <v>3.0999999999999999E-3</v>
      </c>
      <c r="J274" s="158" t="s">
        <v>87</v>
      </c>
      <c r="K274" s="158">
        <v>5.1999999999999998E-3</v>
      </c>
      <c r="L274" s="158">
        <v>6.3E-3</v>
      </c>
      <c r="M274" s="158">
        <v>7.1999999999999998E-3</v>
      </c>
      <c r="N274" s="139" cm="1">
        <f t="array" aca="1" ref="N274:AE274" ca="1">IF(OR(B274="",NOT($J$2)),"",GetStripDefaultProbability(A274,B274,Parameter_Date,CDSRollDate,E274:M274,SpreadCurveMaturities,D274,C274,$J$4,$J$6))</f>
        <v>0</v>
      </c>
      <c r="O274" s="165">
        <f ca="1"/>
        <v>9.3277580402983951E-4</v>
      </c>
      <c r="P274" s="165">
        <f ca="1"/>
        <v>2.8343480878976202E-3</v>
      </c>
      <c r="Q274" s="165">
        <f ca="1"/>
        <v>8.3150424961720981E-3</v>
      </c>
      <c r="R274" s="165">
        <f ca="1"/>
        <v>1.602167310779945E-2</v>
      </c>
      <c r="S274" s="165">
        <f ca="1"/>
        <v>0</v>
      </c>
      <c r="T274" s="165">
        <f ca="1"/>
        <v>4.4900767361827687E-2</v>
      </c>
      <c r="U274" s="165">
        <f ca="1"/>
        <v>7.5519858339313073E-2</v>
      </c>
      <c r="V274" s="140">
        <f ca="1"/>
        <v>0.12127627736922242</v>
      </c>
      <c r="W274" s="139">
        <f ca="1"/>
        <v>0</v>
      </c>
      <c r="X274" s="165">
        <f ca="1"/>
        <v>1.0260036394392769E-3</v>
      </c>
      <c r="Y274" s="165">
        <f ca="1"/>
        <v>3.000528514470524E-3</v>
      </c>
      <c r="Z274" s="165">
        <f ca="1"/>
        <v>8.7116371549653682E-3</v>
      </c>
      <c r="AA274" s="165">
        <f ca="1"/>
        <v>1.6815899592228623E-2</v>
      </c>
      <c r="AB274" s="165">
        <f ca="1"/>
        <v>0</v>
      </c>
      <c r="AC274" s="165">
        <f ca="1"/>
        <v>4.7099784571728032E-2</v>
      </c>
      <c r="AD274" s="165">
        <f ca="1"/>
        <v>7.9174844362811969E-2</v>
      </c>
      <c r="AE274" s="140">
        <f ca="1"/>
        <v>0.12703130035059851</v>
      </c>
      <c r="AH274" s="137"/>
      <c r="AI274" s="137"/>
      <c r="AJ274" s="137"/>
      <c r="AK274" s="137"/>
      <c r="AM274" s="137"/>
      <c r="AN274" s="137"/>
      <c r="AO274" s="137"/>
      <c r="AQ274" s="137"/>
      <c r="AR274" s="137"/>
      <c r="AS274" s="137"/>
      <c r="AT274" s="137"/>
      <c r="AV274" s="137"/>
      <c r="AW274" s="137"/>
      <c r="AX274" s="137"/>
    </row>
    <row r="275" spans="1:50" s="79" customFormat="1" ht="10.199999999999999" x14ac:dyDescent="0.2">
      <c r="A275" s="97">
        <f t="shared" ca="1" si="6"/>
        <v>264</v>
      </c>
      <c r="B275" s="68" t="s">
        <v>350</v>
      </c>
      <c r="C275" s="98">
        <v>0.2</v>
      </c>
      <c r="D275" s="69" t="s">
        <v>67</v>
      </c>
      <c r="E275" s="138" t="s">
        <v>87</v>
      </c>
      <c r="F275" s="158" t="s">
        <v>87</v>
      </c>
      <c r="G275" s="158">
        <v>5.0000000000000001E-3</v>
      </c>
      <c r="H275" s="158" t="s">
        <v>87</v>
      </c>
      <c r="I275" s="158">
        <v>0.01</v>
      </c>
      <c r="J275" s="158" t="s">
        <v>87</v>
      </c>
      <c r="K275" s="158">
        <v>0.02</v>
      </c>
      <c r="L275" s="158">
        <v>2.3E-2</v>
      </c>
      <c r="M275" s="158">
        <v>2.5323999999999999E-2</v>
      </c>
      <c r="N275" s="139" cm="1">
        <f t="array" aca="1" ref="N275:AE275" ca="1">IF(OR(B275="",NOT($J$2)),"",GetStripDefaultProbability(A275,B275,Parameter_Date,CDSRollDate,E275:M275,SpreadCurveMaturities,D275,C275,$J$4,$J$6))</f>
        <v>0</v>
      </c>
      <c r="O275" s="165">
        <f ca="1"/>
        <v>0</v>
      </c>
      <c r="P275" s="165">
        <f ca="1"/>
        <v>6.5975044782338177E-3</v>
      </c>
      <c r="Q275" s="165">
        <f ca="1"/>
        <v>0</v>
      </c>
      <c r="R275" s="165">
        <f ca="1"/>
        <v>3.8261057497295026E-2</v>
      </c>
      <c r="S275" s="165">
        <f ca="1"/>
        <v>0</v>
      </c>
      <c r="T275" s="165">
        <f ca="1"/>
        <v>0.12694720462006004</v>
      </c>
      <c r="U275" s="165">
        <f ca="1"/>
        <v>0.19721258254702645</v>
      </c>
      <c r="V275" s="140">
        <f ca="1"/>
        <v>0.29417269827123305</v>
      </c>
      <c r="W275" s="139">
        <f ca="1"/>
        <v>0</v>
      </c>
      <c r="X275" s="165">
        <f ca="1"/>
        <v>0</v>
      </c>
      <c r="Y275" s="165">
        <f ca="1"/>
        <v>6.9260335084361246E-3</v>
      </c>
      <c r="Z275" s="165">
        <f ca="1"/>
        <v>0</v>
      </c>
      <c r="AA275" s="165">
        <f ca="1"/>
        <v>4.0132208506684197E-2</v>
      </c>
      <c r="AB275" s="165">
        <f ca="1"/>
        <v>0</v>
      </c>
      <c r="AC275" s="165">
        <f ca="1"/>
        <v>0.13301373877930545</v>
      </c>
      <c r="AD275" s="165">
        <f ca="1"/>
        <v>0.20628246181677368</v>
      </c>
      <c r="AE275" s="140">
        <f ca="1"/>
        <v>0.3068908280831143</v>
      </c>
      <c r="AI275" s="137"/>
      <c r="AK275" s="137"/>
      <c r="AM275" s="137"/>
      <c r="AN275" s="137"/>
      <c r="AO275" s="137"/>
      <c r="AR275" s="137"/>
      <c r="AT275" s="137"/>
      <c r="AV275" s="137"/>
      <c r="AW275" s="137"/>
      <c r="AX275" s="137"/>
    </row>
    <row r="276" spans="1:50" s="79" customFormat="1" ht="10.199999999999999" x14ac:dyDescent="0.2">
      <c r="A276" s="97">
        <f t="shared" ca="1" si="6"/>
        <v>265</v>
      </c>
      <c r="B276" s="68" t="s">
        <v>351</v>
      </c>
      <c r="C276" s="98">
        <v>0.4</v>
      </c>
      <c r="D276" s="69" t="s">
        <v>66</v>
      </c>
      <c r="E276" s="138" t="s">
        <v>87</v>
      </c>
      <c r="F276" s="158">
        <v>1.8749999999999999E-2</v>
      </c>
      <c r="G276" s="158">
        <v>1.8749999999999999E-2</v>
      </c>
      <c r="H276" s="158">
        <v>1.7250000000000001E-2</v>
      </c>
      <c r="I276" s="158">
        <v>1.6500000000000001E-2</v>
      </c>
      <c r="J276" s="158" t="s">
        <v>87</v>
      </c>
      <c r="K276" s="158">
        <v>1.4999999999999999E-2</v>
      </c>
      <c r="L276" s="158">
        <v>1.4999999999999999E-2</v>
      </c>
      <c r="M276" s="158">
        <v>1.4999999999999999E-2</v>
      </c>
      <c r="N276" s="139" cm="1">
        <f t="array" aca="1" ref="N276:AE276" ca="1">IF(OR(B276="",NOT($J$2)),"",GetStripDefaultProbability(A276,B276,Parameter_Date,CDSRollDate,E276:M276,SpreadCurveMaturities,D276,C276,$J$4,$J$6))</f>
        <v>0</v>
      </c>
      <c r="O276" s="165">
        <f ca="1"/>
        <v>1.7346227940791548E-2</v>
      </c>
      <c r="P276" s="165">
        <f ca="1"/>
        <v>3.2554012774867469E-2</v>
      </c>
      <c r="Q276" s="165">
        <f ca="1"/>
        <v>5.747589326582947E-2</v>
      </c>
      <c r="R276" s="165">
        <f ca="1"/>
        <v>8.0579730621096468E-2</v>
      </c>
      <c r="S276" s="165">
        <f ca="1"/>
        <v>0</v>
      </c>
      <c r="T276" s="165">
        <f ca="1"/>
        <v>0.11780780735345064</v>
      </c>
      <c r="U276" s="165">
        <f ca="1"/>
        <v>0.161123127017754</v>
      </c>
      <c r="V276" s="140">
        <f ca="1"/>
        <v>0.22223890868766227</v>
      </c>
      <c r="W276" s="139">
        <f ca="1"/>
        <v>0</v>
      </c>
      <c r="X276" s="165">
        <f ca="1"/>
        <v>1.820450335825019E-2</v>
      </c>
      <c r="Y276" s="165">
        <f ca="1"/>
        <v>3.4152868579156559E-2</v>
      </c>
      <c r="Z276" s="165">
        <f ca="1"/>
        <v>6.0253251772826033E-2</v>
      </c>
      <c r="AA276" s="165">
        <f ca="1"/>
        <v>8.44208883046903E-2</v>
      </c>
      <c r="AB276" s="165">
        <f ca="1"/>
        <v>0</v>
      </c>
      <c r="AC276" s="165">
        <f ca="1"/>
        <v>0.12326738046434649</v>
      </c>
      <c r="AD276" s="165">
        <f ca="1"/>
        <v>0.16843127986017914</v>
      </c>
      <c r="AE276" s="140">
        <f ca="1"/>
        <v>0.23192447451975695</v>
      </c>
      <c r="AH276" s="137"/>
      <c r="AI276" s="137"/>
      <c r="AJ276" s="137"/>
      <c r="AK276" s="137"/>
      <c r="AM276" s="137"/>
      <c r="AN276" s="137"/>
      <c r="AO276" s="137"/>
      <c r="AQ276" s="137"/>
      <c r="AR276" s="137"/>
      <c r="AS276" s="137"/>
      <c r="AT276" s="137"/>
      <c r="AV276" s="137"/>
      <c r="AW276" s="137"/>
      <c r="AX276" s="137"/>
    </row>
    <row r="277" spans="1:50" s="79" customFormat="1" ht="10.199999999999999" x14ac:dyDescent="0.2">
      <c r="A277" s="97">
        <f t="shared" ca="1" si="6"/>
        <v>266</v>
      </c>
      <c r="B277" s="68" t="s">
        <v>352</v>
      </c>
      <c r="C277" s="98">
        <v>0.4</v>
      </c>
      <c r="D277" s="69" t="s">
        <v>66</v>
      </c>
      <c r="E277" s="138" t="s">
        <v>87</v>
      </c>
      <c r="F277" s="158">
        <v>8.6E-3</v>
      </c>
      <c r="G277" s="158">
        <v>8.6E-3</v>
      </c>
      <c r="H277" s="158">
        <v>8.6E-3</v>
      </c>
      <c r="I277" s="158">
        <v>8.8800000000000007E-3</v>
      </c>
      <c r="J277" s="158" t="s">
        <v>87</v>
      </c>
      <c r="K277" s="158">
        <v>9.4999999999999998E-3</v>
      </c>
      <c r="L277" s="158">
        <v>9.4999999999999998E-3</v>
      </c>
      <c r="M277" s="158">
        <v>9.4999999999999998E-3</v>
      </c>
      <c r="N277" s="139" cm="1">
        <f t="array" aca="1" ref="N277:AE277" ca="1">IF(OR(B277="",NOT($J$2)),"",GetStripDefaultProbability(A277,B277,Parameter_Date,CDSRollDate,E277:M277,SpreadCurveMaturities,D277,C277,$J$4,$J$6))</f>
        <v>0</v>
      </c>
      <c r="O277" s="165">
        <f ca="1"/>
        <v>7.9935935589473539E-3</v>
      </c>
      <c r="P277" s="165">
        <f ca="1"/>
        <v>1.5065166701871524E-2</v>
      </c>
      <c r="Q277" s="165">
        <f ca="1"/>
        <v>2.9178531657479523E-2</v>
      </c>
      <c r="R277" s="165">
        <f ca="1"/>
        <v>4.4548376917425858E-2</v>
      </c>
      <c r="S277" s="165">
        <f ca="1"/>
        <v>0</v>
      </c>
      <c r="T277" s="165">
        <f ca="1"/>
        <v>7.8002594484348764E-2</v>
      </c>
      <c r="U277" s="165">
        <f ca="1"/>
        <v>0.10694646875297542</v>
      </c>
      <c r="V277" s="140">
        <f ca="1"/>
        <v>0.14871056843385677</v>
      </c>
      <c r="W277" s="139">
        <f ca="1"/>
        <v>0</v>
      </c>
      <c r="X277" s="165">
        <f ca="1"/>
        <v>8.3914118490253653E-3</v>
      </c>
      <c r="Y277" s="165">
        <f ca="1"/>
        <v>1.5812314131983918E-2</v>
      </c>
      <c r="Z277" s="165">
        <f ca="1"/>
        <v>3.0613903935847953E-2</v>
      </c>
      <c r="AA277" s="165">
        <f ca="1"/>
        <v>4.672301374269594E-2</v>
      </c>
      <c r="AB277" s="165">
        <f ca="1"/>
        <v>0</v>
      </c>
      <c r="AC277" s="165">
        <f ca="1"/>
        <v>8.1735585106350372E-2</v>
      </c>
      <c r="AD277" s="165">
        <f ca="1"/>
        <v>0.1119832749976698</v>
      </c>
      <c r="AE277" s="140">
        <f ca="1"/>
        <v>0.15554736458523077</v>
      </c>
      <c r="AH277" s="137"/>
      <c r="AI277" s="137"/>
      <c r="AJ277" s="137"/>
      <c r="AK277" s="137"/>
      <c r="AM277" s="137"/>
      <c r="AN277" s="137"/>
      <c r="AO277" s="137"/>
      <c r="AQ277" s="137"/>
      <c r="AR277" s="137"/>
      <c r="AS277" s="137"/>
      <c r="AT277" s="137"/>
      <c r="AV277" s="137"/>
      <c r="AW277" s="137"/>
      <c r="AX277" s="137"/>
    </row>
    <row r="278" spans="1:50" s="79" customFormat="1" ht="10.199999999999999" x14ac:dyDescent="0.2">
      <c r="A278" s="97">
        <f t="shared" ca="1" si="6"/>
        <v>267</v>
      </c>
      <c r="B278" s="68" t="s">
        <v>353</v>
      </c>
      <c r="C278" s="98">
        <v>0.4</v>
      </c>
      <c r="D278" s="69" t="s">
        <v>67</v>
      </c>
      <c r="E278" s="138" t="s">
        <v>87</v>
      </c>
      <c r="F278" s="158" t="s">
        <v>87</v>
      </c>
      <c r="G278" s="158">
        <v>2.643E-3</v>
      </c>
      <c r="H278" s="158" t="s">
        <v>87</v>
      </c>
      <c r="I278" s="158">
        <v>3.9979999999999998E-3</v>
      </c>
      <c r="J278" s="158" t="s">
        <v>87</v>
      </c>
      <c r="K278" s="158">
        <v>5.1500000000000001E-3</v>
      </c>
      <c r="L278" s="158">
        <v>5.7600000000000004E-3</v>
      </c>
      <c r="M278" s="158">
        <v>6.5729999999999998E-3</v>
      </c>
      <c r="N278" s="139" cm="1">
        <f t="array" aca="1" ref="N278:AE278" ca="1">IF(OR(B278="",NOT($J$2)),"",GetStripDefaultProbability(A278,B278,Parameter_Date,CDSRollDate,E278:M278,SpreadCurveMaturities,D278,C278,$J$4,$J$6))</f>
        <v>0</v>
      </c>
      <c r="O278" s="165">
        <f ca="1"/>
        <v>0</v>
      </c>
      <c r="P278" s="165">
        <f ca="1"/>
        <v>4.6544222060856955E-3</v>
      </c>
      <c r="Q278" s="165">
        <f ca="1"/>
        <v>0</v>
      </c>
      <c r="R278" s="165">
        <f ca="1"/>
        <v>2.0455061174971312E-2</v>
      </c>
      <c r="S278" s="165">
        <f ca="1"/>
        <v>0</v>
      </c>
      <c r="T278" s="165">
        <f ca="1"/>
        <v>4.3778257908030027E-2</v>
      </c>
      <c r="U278" s="165">
        <f ca="1"/>
        <v>6.807391938227092E-2</v>
      </c>
      <c r="V278" s="140">
        <f ca="1"/>
        <v>0.11037272526645325</v>
      </c>
      <c r="W278" s="139">
        <f ca="1"/>
        <v>0</v>
      </c>
      <c r="X278" s="165">
        <f ca="1"/>
        <v>0</v>
      </c>
      <c r="Y278" s="165">
        <f ca="1"/>
        <v>4.8736229292184463E-3</v>
      </c>
      <c r="Z278" s="165">
        <f ca="1"/>
        <v>0</v>
      </c>
      <c r="AA278" s="165">
        <f ca="1"/>
        <v>2.1466922357796681E-2</v>
      </c>
      <c r="AB278" s="165">
        <f ca="1"/>
        <v>0</v>
      </c>
      <c r="AC278" s="165">
        <f ca="1"/>
        <v>4.5921258984095492E-2</v>
      </c>
      <c r="AD278" s="165">
        <f ca="1"/>
        <v>7.1370460465133956E-2</v>
      </c>
      <c r="AE278" s="140">
        <f ca="1"/>
        <v>0.11562515938094964</v>
      </c>
      <c r="AI278" s="137"/>
      <c r="AK278" s="137"/>
      <c r="AM278" s="137"/>
      <c r="AN278" s="137"/>
      <c r="AO278" s="137"/>
      <c r="AR278" s="137"/>
      <c r="AT278" s="137"/>
      <c r="AV278" s="137"/>
      <c r="AW278" s="137"/>
      <c r="AX278" s="137"/>
    </row>
    <row r="279" spans="1:50" s="79" customFormat="1" ht="10.199999999999999" x14ac:dyDescent="0.2">
      <c r="A279" s="97">
        <f t="shared" ca="1" si="6"/>
        <v>268</v>
      </c>
      <c r="B279" s="68" t="s">
        <v>135</v>
      </c>
      <c r="C279" s="98">
        <v>0.4</v>
      </c>
      <c r="D279" s="69" t="s">
        <v>66</v>
      </c>
      <c r="E279" s="138" t="s">
        <v>87</v>
      </c>
      <c r="F279" s="158">
        <v>1.1999999999999999E-3</v>
      </c>
      <c r="G279" s="158">
        <v>1.6999999999999999E-3</v>
      </c>
      <c r="H279" s="158">
        <v>2.8E-3</v>
      </c>
      <c r="I279" s="158">
        <v>3.5000000000000001E-3</v>
      </c>
      <c r="J279" s="158" t="s">
        <v>87</v>
      </c>
      <c r="K279" s="158">
        <v>4.4999999999999997E-3</v>
      </c>
      <c r="L279" s="158">
        <v>5.1999999999999998E-3</v>
      </c>
      <c r="M279" s="158">
        <v>6.1999999999999998E-3</v>
      </c>
      <c r="N279" s="139" cm="1">
        <f t="array" aca="1" ref="N279:AE279" ca="1">IF(OR(B279="",NOT($J$2)),"",GetStripDefaultProbability(A279,B279,Parameter_Date,CDSRollDate,E279:M279,SpreadCurveMaturities,D279,C279,$J$4,$J$6))</f>
        <v>0</v>
      </c>
      <c r="O279" s="165">
        <f ca="1"/>
        <v>1.1192267699196012E-3</v>
      </c>
      <c r="P279" s="165">
        <f ca="1"/>
        <v>3.0080192722674592E-3</v>
      </c>
      <c r="Q279" s="165">
        <f ca="1"/>
        <v>9.7056338526321229E-3</v>
      </c>
      <c r="R279" s="165">
        <f ca="1"/>
        <v>1.8064211663813889E-2</v>
      </c>
      <c r="S279" s="165">
        <f ca="1"/>
        <v>0</v>
      </c>
      <c r="T279" s="165">
        <f ca="1"/>
        <v>3.8441749995414942E-2</v>
      </c>
      <c r="U279" s="165">
        <f ca="1"/>
        <v>6.1863310761928858E-2</v>
      </c>
      <c r="V279" s="140">
        <f ca="1"/>
        <v>0.10503576267547376</v>
      </c>
      <c r="W279" s="139">
        <f ca="1"/>
        <v>0</v>
      </c>
      <c r="X279" s="165">
        <f ca="1"/>
        <v>1.2124363949111983E-3</v>
      </c>
      <c r="Y279" s="165">
        <f ca="1"/>
        <v>3.1741707560468679E-3</v>
      </c>
      <c r="Z279" s="165">
        <f ca="1"/>
        <v>1.0187224765522473E-2</v>
      </c>
      <c r="AA279" s="165">
        <f ca="1"/>
        <v>1.8958837554105101E-2</v>
      </c>
      <c r="AB279" s="165">
        <f ca="1"/>
        <v>0</v>
      </c>
      <c r="AC279" s="165">
        <f ca="1"/>
        <v>4.032749548339376E-2</v>
      </c>
      <c r="AD279" s="165">
        <f ca="1"/>
        <v>6.4868551924553985E-2</v>
      </c>
      <c r="AE279" s="140">
        <f ca="1"/>
        <v>0.11005486830767153</v>
      </c>
      <c r="AH279" s="137"/>
      <c r="AI279" s="137"/>
      <c r="AJ279" s="137"/>
      <c r="AK279" s="137"/>
      <c r="AM279" s="137"/>
      <c r="AN279" s="137"/>
      <c r="AO279" s="137"/>
      <c r="AQ279" s="137"/>
      <c r="AR279" s="137"/>
      <c r="AS279" s="137"/>
      <c r="AT279" s="137"/>
      <c r="AV279" s="137"/>
      <c r="AW279" s="137"/>
      <c r="AX279" s="137"/>
    </row>
    <row r="280" spans="1:50" s="79" customFormat="1" ht="10.199999999999999" x14ac:dyDescent="0.2">
      <c r="A280" s="97">
        <f t="shared" ca="1" si="6"/>
        <v>269</v>
      </c>
      <c r="B280" s="68" t="s">
        <v>208</v>
      </c>
      <c r="C280" s="98">
        <v>0.4</v>
      </c>
      <c r="D280" s="69" t="s">
        <v>66</v>
      </c>
      <c r="E280" s="138" t="s">
        <v>87</v>
      </c>
      <c r="F280" s="158">
        <v>1.1000000000000001E-3</v>
      </c>
      <c r="G280" s="158">
        <v>1.5E-3</v>
      </c>
      <c r="H280" s="158">
        <v>1.9E-3</v>
      </c>
      <c r="I280" s="158">
        <v>2.5999999999999999E-3</v>
      </c>
      <c r="J280" s="158" t="s">
        <v>87</v>
      </c>
      <c r="K280" s="158">
        <v>3.8E-3</v>
      </c>
      <c r="L280" s="158">
        <v>4.7000000000000002E-3</v>
      </c>
      <c r="M280" s="158">
        <v>5.7000000000000002E-3</v>
      </c>
      <c r="N280" s="139" cm="1">
        <f t="array" aca="1" ref="N280:AE280" ca="1">IF(OR(B280="",NOT($J$2)),"",GetStripDefaultProbability(A280,B280,Parameter_Date,CDSRollDate,E280:M280,SpreadCurveMaturities,D280,C280,$J$4,$J$6))</f>
        <v>0</v>
      </c>
      <c r="O280" s="165">
        <f ca="1"/>
        <v>1.0260056262103578E-3</v>
      </c>
      <c r="P280" s="165">
        <f ca="1"/>
        <v>2.6535595719868743E-3</v>
      </c>
      <c r="Q280" s="165">
        <f ca="1"/>
        <v>6.5651428785618027E-3</v>
      </c>
      <c r="R280" s="165">
        <f ca="1"/>
        <v>1.345339463577977E-2</v>
      </c>
      <c r="S280" s="165">
        <f ca="1"/>
        <v>0</v>
      </c>
      <c r="T280" s="165">
        <f ca="1"/>
        <v>3.2756879543669348E-2</v>
      </c>
      <c r="U280" s="165">
        <f ca="1"/>
        <v>5.6650793426927581E-2</v>
      </c>
      <c r="V280" s="140">
        <f ca="1"/>
        <v>9.774781966289614E-2</v>
      </c>
      <c r="W280" s="139">
        <f ca="1"/>
        <v>0</v>
      </c>
      <c r="X280" s="165">
        <f ca="1"/>
        <v>1.1192243755654419E-3</v>
      </c>
      <c r="Y280" s="165">
        <f ca="1"/>
        <v>2.8197701274703668E-3</v>
      </c>
      <c r="Z280" s="165">
        <f ca="1"/>
        <v>6.8962326462607138E-3</v>
      </c>
      <c r="AA280" s="165">
        <f ca="1"/>
        <v>1.4119580228031503E-2</v>
      </c>
      <c r="AB280" s="165">
        <f ca="1"/>
        <v>0</v>
      </c>
      <c r="AC280" s="165">
        <f ca="1"/>
        <v>3.4367855670745295E-2</v>
      </c>
      <c r="AD280" s="165">
        <f ca="1"/>
        <v>5.941267375196424E-2</v>
      </c>
      <c r="AE280" s="140">
        <f ca="1"/>
        <v>0.10244193346974007</v>
      </c>
      <c r="AH280" s="137"/>
      <c r="AI280" s="137"/>
      <c r="AJ280" s="137"/>
      <c r="AK280" s="137"/>
      <c r="AM280" s="137"/>
      <c r="AN280" s="137"/>
      <c r="AO280" s="137"/>
      <c r="AQ280" s="137"/>
      <c r="AR280" s="137"/>
      <c r="AS280" s="137"/>
      <c r="AT280" s="137"/>
      <c r="AV280" s="137"/>
      <c r="AW280" s="137"/>
      <c r="AX280" s="137"/>
    </row>
    <row r="281" spans="1:50" s="79" customFormat="1" ht="10.199999999999999" x14ac:dyDescent="0.2">
      <c r="A281" s="97">
        <f t="shared" ca="1" si="6"/>
        <v>270</v>
      </c>
      <c r="B281" s="68" t="s">
        <v>126</v>
      </c>
      <c r="C281" s="98">
        <v>0.4</v>
      </c>
      <c r="D281" s="69" t="s">
        <v>66</v>
      </c>
      <c r="E281" s="138" t="s">
        <v>87</v>
      </c>
      <c r="F281" s="158">
        <v>1.1000000000000001E-3</v>
      </c>
      <c r="G281" s="158">
        <v>1.6000000000000001E-3</v>
      </c>
      <c r="H281" s="158">
        <v>2E-3</v>
      </c>
      <c r="I281" s="158">
        <v>2.8E-3</v>
      </c>
      <c r="J281" s="158" t="s">
        <v>87</v>
      </c>
      <c r="K281" s="158">
        <v>3.8999999999999998E-3</v>
      </c>
      <c r="L281" s="158">
        <v>4.5999999999999999E-3</v>
      </c>
      <c r="M281" s="158">
        <v>5.5999999999999999E-3</v>
      </c>
      <c r="N281" s="139" cm="1">
        <f t="array" aca="1" ref="N281:AE281" ca="1">IF(OR(B281="",NOT($J$2)),"",GetStripDefaultProbability(A281,B281,Parameter_Date,CDSRollDate,E281:M281,SpreadCurveMaturities,D281,C281,$J$4,$J$6))</f>
        <v>0</v>
      </c>
      <c r="O281" s="165">
        <f ca="1"/>
        <v>1.0260056262103578E-3</v>
      </c>
      <c r="P281" s="165">
        <f ca="1"/>
        <v>2.8319832602154982E-3</v>
      </c>
      <c r="Q281" s="165">
        <f ca="1"/>
        <v>6.9097030011058269E-3</v>
      </c>
      <c r="R281" s="165">
        <f ca="1"/>
        <v>1.4493466106794584E-2</v>
      </c>
      <c r="S281" s="165">
        <f ca="1"/>
        <v>0</v>
      </c>
      <c r="T281" s="165">
        <f ca="1"/>
        <v>3.354292417265381E-2</v>
      </c>
      <c r="U281" s="165">
        <f ca="1"/>
        <v>5.5157941352731443E-2</v>
      </c>
      <c r="V281" s="140">
        <f ca="1"/>
        <v>9.5834152942573692E-2</v>
      </c>
      <c r="W281" s="139">
        <f ca="1"/>
        <v>0</v>
      </c>
      <c r="X281" s="165">
        <f ca="1"/>
        <v>1.1192243755654419E-3</v>
      </c>
      <c r="Y281" s="165">
        <f ca="1"/>
        <v>2.9981640808945942E-3</v>
      </c>
      <c r="Z281" s="165">
        <f ca="1"/>
        <v>7.2406779345630667E-3</v>
      </c>
      <c r="AA281" s="165">
        <f ca="1"/>
        <v>1.5212246318829892E-2</v>
      </c>
      <c r="AB281" s="165">
        <f ca="1"/>
        <v>0</v>
      </c>
      <c r="AC281" s="165">
        <f ca="1"/>
        <v>3.5192991485346381E-2</v>
      </c>
      <c r="AD281" s="165">
        <f ca="1"/>
        <v>5.7848048078561254E-2</v>
      </c>
      <c r="AE281" s="140">
        <f ca="1"/>
        <v>0.10043850678638611</v>
      </c>
      <c r="AH281" s="137"/>
      <c r="AI281" s="137"/>
      <c r="AJ281" s="137"/>
      <c r="AK281" s="137"/>
      <c r="AM281" s="137"/>
      <c r="AN281" s="137"/>
      <c r="AO281" s="137"/>
      <c r="AQ281" s="137"/>
      <c r="AR281" s="137"/>
      <c r="AS281" s="137"/>
      <c r="AT281" s="137"/>
      <c r="AV281" s="137"/>
      <c r="AW281" s="137"/>
      <c r="AX281" s="137"/>
    </row>
    <row r="282" spans="1:50" s="79" customFormat="1" ht="10.199999999999999" x14ac:dyDescent="0.2">
      <c r="A282" s="97">
        <f t="shared" ca="1" si="6"/>
        <v>271</v>
      </c>
      <c r="B282" s="68" t="s">
        <v>354</v>
      </c>
      <c r="C282" s="98">
        <v>0.4</v>
      </c>
      <c r="D282" s="69" t="s">
        <v>67</v>
      </c>
      <c r="E282" s="138" t="s">
        <v>87</v>
      </c>
      <c r="F282" s="158" t="s">
        <v>87</v>
      </c>
      <c r="G282" s="158">
        <v>9.3400000000000004E-4</v>
      </c>
      <c r="H282" s="158" t="s">
        <v>87</v>
      </c>
      <c r="I282" s="158">
        <v>2.264E-3</v>
      </c>
      <c r="J282" s="158" t="s">
        <v>87</v>
      </c>
      <c r="K282" s="158">
        <v>3.5500000000000002E-3</v>
      </c>
      <c r="L282" s="158">
        <v>4.4759999999999999E-3</v>
      </c>
      <c r="M282" s="158">
        <v>5.3509999999999999E-3</v>
      </c>
      <c r="N282" s="139" cm="1">
        <f t="array" aca="1" ref="N282:AE282" ca="1">IF(OR(B282="",NOT($J$2)),"",GetStripDefaultProbability(A282,B282,Parameter_Date,CDSRollDate,E282:M282,SpreadCurveMaturities,D282,C282,$J$4,$J$6))</f>
        <v>0</v>
      </c>
      <c r="O282" s="165">
        <f ca="1"/>
        <v>0</v>
      </c>
      <c r="P282" s="165">
        <f ca="1"/>
        <v>1.6472707157032529E-3</v>
      </c>
      <c r="Q282" s="165">
        <f ca="1"/>
        <v>0</v>
      </c>
      <c r="R282" s="165">
        <f ca="1"/>
        <v>1.1702658258738396E-2</v>
      </c>
      <c r="S282" s="165">
        <f ca="1"/>
        <v>0</v>
      </c>
      <c r="T282" s="165">
        <f ca="1"/>
        <v>3.0750648595551433E-2</v>
      </c>
      <c r="U282" s="165">
        <f ca="1"/>
        <v>5.4379594211188542E-2</v>
      </c>
      <c r="V282" s="140">
        <f ca="1"/>
        <v>9.2560961534685848E-2</v>
      </c>
      <c r="W282" s="139">
        <f ca="1"/>
        <v>0</v>
      </c>
      <c r="X282" s="165">
        <f ca="1"/>
        <v>0</v>
      </c>
      <c r="Y282" s="165">
        <f ca="1"/>
        <v>1.8136489720085303E-3</v>
      </c>
      <c r="Z282" s="165">
        <f ca="1"/>
        <v>0</v>
      </c>
      <c r="AA282" s="165">
        <f ca="1"/>
        <v>1.2261876280551753E-2</v>
      </c>
      <c r="AB282" s="165">
        <f ca="1"/>
        <v>0</v>
      </c>
      <c r="AC282" s="165">
        <f ca="1"/>
        <v>3.2262080649489433E-2</v>
      </c>
      <c r="AD282" s="165">
        <f ca="1"/>
        <v>5.7032063702371016E-2</v>
      </c>
      <c r="AE282" s="140">
        <f ca="1"/>
        <v>9.6989574628214781E-2</v>
      </c>
      <c r="AI282" s="137"/>
      <c r="AK282" s="137"/>
      <c r="AM282" s="137"/>
      <c r="AN282" s="137"/>
      <c r="AO282" s="137"/>
      <c r="AR282" s="137"/>
      <c r="AT282" s="137"/>
      <c r="AV282" s="137"/>
      <c r="AW282" s="137"/>
      <c r="AX282" s="137"/>
    </row>
    <row r="283" spans="1:50" s="79" customFormat="1" ht="10.199999999999999" x14ac:dyDescent="0.2">
      <c r="A283" s="97">
        <f t="shared" ca="1" si="6"/>
        <v>272</v>
      </c>
      <c r="B283" s="68" t="s">
        <v>209</v>
      </c>
      <c r="C283" s="98">
        <v>0.4</v>
      </c>
      <c r="D283" s="69" t="s">
        <v>66</v>
      </c>
      <c r="E283" s="138" t="s">
        <v>87</v>
      </c>
      <c r="F283" s="158">
        <v>8.0000000000000004E-4</v>
      </c>
      <c r="G283" s="158">
        <v>1E-3</v>
      </c>
      <c r="H283" s="158">
        <v>1.9E-3</v>
      </c>
      <c r="I283" s="158">
        <v>2.3999999999999998E-3</v>
      </c>
      <c r="J283" s="158" t="s">
        <v>87</v>
      </c>
      <c r="K283" s="158">
        <v>3.8E-3</v>
      </c>
      <c r="L283" s="158">
        <v>4.4999999999999997E-3</v>
      </c>
      <c r="M283" s="158">
        <v>5.4000000000000003E-3</v>
      </c>
      <c r="N283" s="139" cm="1">
        <f t="array" aca="1" ref="N283:AE283" ca="1">IF(OR(B283="",NOT($J$2)),"",GetStripDefaultProbability(A283,B283,Parameter_Date,CDSRollDate,E283:M283,SpreadCurveMaturities,D283,C283,$J$4,$J$6))</f>
        <v>0</v>
      </c>
      <c r="O283" s="165">
        <f ca="1"/>
        <v>7.4629011945415158E-4</v>
      </c>
      <c r="P283" s="165">
        <f ca="1"/>
        <v>1.7681658853830884E-3</v>
      </c>
      <c r="Q283" s="165">
        <f ca="1"/>
        <v>6.6038782652787509E-3</v>
      </c>
      <c r="R283" s="165">
        <f ca="1"/>
        <v>1.2428733584434082E-2</v>
      </c>
      <c r="S283" s="165">
        <f ca="1"/>
        <v>0</v>
      </c>
      <c r="T283" s="165">
        <f ca="1"/>
        <v>3.2878438934937915E-2</v>
      </c>
      <c r="U283" s="165">
        <f ca="1"/>
        <v>5.4191089820416871E-2</v>
      </c>
      <c r="V283" s="140">
        <f ca="1"/>
        <v>9.2570624938645762E-2</v>
      </c>
      <c r="W283" s="139">
        <f ca="1"/>
        <v>0</v>
      </c>
      <c r="X283" s="165">
        <f ca="1"/>
        <v>8.3953601351138829E-4</v>
      </c>
      <c r="Y283" s="165">
        <f ca="1"/>
        <v>1.9345239941775949E-3</v>
      </c>
      <c r="Z283" s="165">
        <f ca="1"/>
        <v>6.934955123330977E-3</v>
      </c>
      <c r="AA283" s="165">
        <f ca="1"/>
        <v>1.3042349380212648E-2</v>
      </c>
      <c r="AB283" s="165">
        <f ca="1"/>
        <v>0</v>
      </c>
      <c r="AC283" s="165">
        <f ca="1"/>
        <v>3.4493745916378327E-2</v>
      </c>
      <c r="AD283" s="165">
        <f ca="1"/>
        <v>5.6833663732416606E-2</v>
      </c>
      <c r="AE283" s="140">
        <f ca="1"/>
        <v>9.6998412216141805E-2</v>
      </c>
      <c r="AH283" s="137"/>
      <c r="AI283" s="137"/>
      <c r="AJ283" s="137"/>
      <c r="AK283" s="137"/>
      <c r="AM283" s="137"/>
      <c r="AN283" s="137"/>
      <c r="AO283" s="137"/>
      <c r="AQ283" s="137"/>
      <c r="AR283" s="137"/>
      <c r="AS283" s="137"/>
      <c r="AT283" s="137"/>
      <c r="AV283" s="137"/>
      <c r="AW283" s="137"/>
      <c r="AX283" s="137"/>
    </row>
    <row r="284" spans="1:50" s="79" customFormat="1" ht="10.199999999999999" x14ac:dyDescent="0.2">
      <c r="A284" s="97">
        <f t="shared" ca="1" si="6"/>
        <v>273</v>
      </c>
      <c r="B284" s="68" t="s">
        <v>355</v>
      </c>
      <c r="C284" s="98">
        <v>0.2</v>
      </c>
      <c r="D284" s="69" t="s">
        <v>67</v>
      </c>
      <c r="E284" s="138">
        <v>1E-3</v>
      </c>
      <c r="F284" s="158">
        <v>1E-3</v>
      </c>
      <c r="G284" s="158">
        <v>1.2999999999999999E-3</v>
      </c>
      <c r="H284" s="158">
        <v>1.6000000000000001E-3</v>
      </c>
      <c r="I284" s="158">
        <v>2.3E-3</v>
      </c>
      <c r="J284" s="158">
        <v>2.8E-3</v>
      </c>
      <c r="K284" s="158">
        <v>3.3E-3</v>
      </c>
      <c r="L284" s="158">
        <v>4.4000000000000003E-3</v>
      </c>
      <c r="M284" s="158">
        <v>5.4000000000000003E-3</v>
      </c>
      <c r="N284" s="139" cm="1">
        <f t="array" aca="1" ref="N284:AE284" ca="1">IF(OR(B284="",NOT($J$2)),"",GetStripDefaultProbability(A284,B284,Parameter_Date,CDSRollDate,E284:M284,SpreadCurveMaturities,D284,C284,$J$4,$J$6))</f>
        <v>3.8278773587874237E-4</v>
      </c>
      <c r="O284" s="165">
        <f ca="1"/>
        <v>6.9967120318303877E-4</v>
      </c>
      <c r="P284" s="165">
        <f ca="1"/>
        <v>1.724699980429456E-3</v>
      </c>
      <c r="Q284" s="165">
        <f ca="1"/>
        <v>4.1476333942300769E-3</v>
      </c>
      <c r="R284" s="165">
        <f ca="1"/>
        <v>8.9535271329055366E-3</v>
      </c>
      <c r="S284" s="165">
        <f ca="1"/>
        <v>1.45452580718054E-2</v>
      </c>
      <c r="T284" s="165">
        <f ca="1"/>
        <v>2.148477628324974E-2</v>
      </c>
      <c r="U284" s="165">
        <f ca="1"/>
        <v>4.0483364178156678E-2</v>
      </c>
      <c r="V284" s="140">
        <f ca="1"/>
        <v>7.1123230166505458E-2</v>
      </c>
      <c r="W284" s="139">
        <f ca="1"/>
        <v>4.2105829162941699E-4</v>
      </c>
      <c r="X284" s="165">
        <f ca="1"/>
        <v>7.6961126926211598E-4</v>
      </c>
      <c r="Y284" s="165">
        <f ca="1"/>
        <v>1.8494765942301816E-3</v>
      </c>
      <c r="Z284" s="165">
        <f ca="1"/>
        <v>4.3965653680836381E-3</v>
      </c>
      <c r="AA284" s="165">
        <f ca="1"/>
        <v>9.3951183651463932E-3</v>
      </c>
      <c r="AB284" s="165">
        <f ca="1"/>
        <v>1.5263816190355772E-2</v>
      </c>
      <c r="AC284" s="165">
        <f ca="1"/>
        <v>2.254549702084796E-2</v>
      </c>
      <c r="AD284" s="165">
        <f ca="1"/>
        <v>4.2469320339024841E-2</v>
      </c>
      <c r="AE284" s="140">
        <f ca="1"/>
        <v>7.4563039773068107E-2</v>
      </c>
      <c r="AG284" s="137"/>
      <c r="AH284" s="137"/>
      <c r="AI284" s="137"/>
      <c r="AJ284" s="137"/>
      <c r="AK284" s="137"/>
      <c r="AL284" s="137"/>
      <c r="AM284" s="137"/>
      <c r="AN284" s="137"/>
      <c r="AO284" s="137"/>
      <c r="AP284" s="137"/>
      <c r="AQ284" s="137"/>
      <c r="AR284" s="137"/>
      <c r="AS284" s="137"/>
      <c r="AT284" s="137"/>
      <c r="AU284" s="137"/>
      <c r="AV284" s="137"/>
      <c r="AW284" s="137"/>
      <c r="AX284" s="137"/>
    </row>
    <row r="285" spans="1:50" s="79" customFormat="1" ht="10.199999999999999" x14ac:dyDescent="0.2">
      <c r="A285" s="97">
        <f t="shared" ca="1" si="6"/>
        <v>274</v>
      </c>
      <c r="B285" s="68" t="s">
        <v>356</v>
      </c>
      <c r="C285" s="98">
        <v>0.4</v>
      </c>
      <c r="D285" s="69" t="s">
        <v>67</v>
      </c>
      <c r="E285" s="138" t="s">
        <v>87</v>
      </c>
      <c r="F285" s="158" t="s">
        <v>87</v>
      </c>
      <c r="G285" s="158">
        <v>8.6899999999999998E-4</v>
      </c>
      <c r="H285" s="158" t="s">
        <v>87</v>
      </c>
      <c r="I285" s="158">
        <v>2.2699999999999999E-3</v>
      </c>
      <c r="J285" s="158" t="s">
        <v>87</v>
      </c>
      <c r="K285" s="158">
        <v>3.2499999999999999E-3</v>
      </c>
      <c r="L285" s="158">
        <v>4.2300000000000003E-3</v>
      </c>
      <c r="M285" s="158">
        <v>5.2620000000000002E-3</v>
      </c>
      <c r="N285" s="139" cm="1">
        <f t="array" aca="1" ref="N285:AE285" ca="1">IF(OR(B285="",NOT($J$2)),"",GetStripDefaultProbability(A285,B285,Parameter_Date,CDSRollDate,E285:M285,SpreadCurveMaturities,D285,C285,$J$4,$J$6))</f>
        <v>0</v>
      </c>
      <c r="O285" s="165">
        <f ca="1"/>
        <v>0</v>
      </c>
      <c r="P285" s="165">
        <f ca="1"/>
        <v>1.5327192075048623E-3</v>
      </c>
      <c r="Q285" s="165">
        <f ca="1"/>
        <v>0</v>
      </c>
      <c r="R285" s="165">
        <f ca="1"/>
        <v>1.1742454899531962E-2</v>
      </c>
      <c r="S285" s="165">
        <f ca="1"/>
        <v>0</v>
      </c>
      <c r="T285" s="165">
        <f ca="1"/>
        <v>2.8063455469590548E-2</v>
      </c>
      <c r="U285" s="165">
        <f ca="1"/>
        <v>5.1487068611778097E-2</v>
      </c>
      <c r="V285" s="140">
        <f ca="1"/>
        <v>9.1659906664801838E-2</v>
      </c>
      <c r="W285" s="139">
        <f ca="1"/>
        <v>0</v>
      </c>
      <c r="X285" s="165">
        <f ca="1"/>
        <v>0</v>
      </c>
      <c r="Y285" s="165">
        <f ca="1"/>
        <v>1.6991165541345721E-3</v>
      </c>
      <c r="Z285" s="165">
        <f ca="1"/>
        <v>0</v>
      </c>
      <c r="AA285" s="165">
        <f ca="1"/>
        <v>1.2303131949250035E-2</v>
      </c>
      <c r="AB285" s="165">
        <f ca="1"/>
        <v>0</v>
      </c>
      <c r="AC285" s="165">
        <f ca="1"/>
        <v>2.944346046519708E-2</v>
      </c>
      <c r="AD285" s="165">
        <f ca="1"/>
        <v>5.40006716257454E-2</v>
      </c>
      <c r="AE285" s="140">
        <f ca="1"/>
        <v>9.6077045434548092E-2</v>
      </c>
      <c r="AI285" s="137">
        <v>1.5E-3</v>
      </c>
      <c r="AK285" s="137">
        <v>1.17E-2</v>
      </c>
      <c r="AM285" s="137">
        <v>2.8000000000000001E-2</v>
      </c>
      <c r="AN285" s="137">
        <v>5.1400000000000001E-2</v>
      </c>
      <c r="AO285" s="137">
        <v>9.1499999999999998E-2</v>
      </c>
      <c r="AR285" s="137">
        <v>1.6999999999999999E-3</v>
      </c>
      <c r="AT285" s="137">
        <v>1.2200000000000001E-2</v>
      </c>
      <c r="AV285" s="137">
        <v>2.9399999999999999E-2</v>
      </c>
      <c r="AW285" s="137">
        <v>5.3900000000000003E-2</v>
      </c>
      <c r="AX285" s="137">
        <v>9.5899999999999999E-2</v>
      </c>
    </row>
    <row r="286" spans="1:50" s="79" customFormat="1" ht="10.199999999999999" x14ac:dyDescent="0.2">
      <c r="A286" s="97">
        <f t="shared" ca="1" si="6"/>
        <v>275</v>
      </c>
      <c r="B286" s="68" t="s">
        <v>357</v>
      </c>
      <c r="C286" s="98">
        <v>0.4</v>
      </c>
      <c r="D286" s="69" t="s">
        <v>66</v>
      </c>
      <c r="E286" s="138" t="s">
        <v>87</v>
      </c>
      <c r="F286" s="158">
        <v>5.9999999999999995E-4</v>
      </c>
      <c r="G286" s="158">
        <v>8.0000000000000004E-4</v>
      </c>
      <c r="H286" s="158">
        <v>1.2999999999999999E-3</v>
      </c>
      <c r="I286" s="158">
        <v>1.9E-3</v>
      </c>
      <c r="J286" s="158" t="s">
        <v>87</v>
      </c>
      <c r="K286" s="158">
        <v>3.0999999999999999E-3</v>
      </c>
      <c r="L286" s="158">
        <v>4.0000000000000001E-3</v>
      </c>
      <c r="M286" s="158">
        <v>5.0000000000000001E-3</v>
      </c>
      <c r="N286" s="139" cm="1">
        <f t="array" aca="1" ref="N286:AE286" ca="1">IF(OR(B286="",NOT($J$2)),"",GetStripDefaultProbability(A286,B286,Parameter_Date,CDSRollDate,E286:M286,SpreadCurveMaturities,D286,C286,$J$4,$J$6))</f>
        <v>0</v>
      </c>
      <c r="O286" s="165">
        <f ca="1"/>
        <v>5.5976970645477131E-4</v>
      </c>
      <c r="P286" s="165">
        <f ca="1"/>
        <v>1.4156757691393684E-3</v>
      </c>
      <c r="Q286" s="165">
        <f ca="1"/>
        <v>4.513501400602582E-3</v>
      </c>
      <c r="R286" s="165">
        <f ca="1"/>
        <v>9.8830391247215488E-3</v>
      </c>
      <c r="S286" s="165">
        <f ca="1"/>
        <v>0</v>
      </c>
      <c r="T286" s="165">
        <f ca="1"/>
        <v>2.6947007979066906E-2</v>
      </c>
      <c r="U286" s="165">
        <f ca="1"/>
        <v>4.8712503584440681E-2</v>
      </c>
      <c r="V286" s="140">
        <f ca="1"/>
        <v>8.686999891305025E-2</v>
      </c>
      <c r="W286" s="139">
        <f ca="1"/>
        <v>0</v>
      </c>
      <c r="X286" s="165">
        <f ca="1"/>
        <v>6.5303351059242676E-4</v>
      </c>
      <c r="Y286" s="165">
        <f ca="1"/>
        <v>1.582092621382758E-3</v>
      </c>
      <c r="Z286" s="165">
        <f ca="1"/>
        <v>4.8452749348196766E-3</v>
      </c>
      <c r="AA286" s="165">
        <f ca="1"/>
        <v>1.0377973861181111E-2</v>
      </c>
      <c r="AB286" s="165">
        <f ca="1"/>
        <v>0</v>
      </c>
      <c r="AC286" s="165">
        <f ca="1"/>
        <v>2.82670466841759E-2</v>
      </c>
      <c r="AD286" s="165">
        <f ca="1"/>
        <v>5.1088378300085835E-2</v>
      </c>
      <c r="AE286" s="140">
        <f ca="1"/>
        <v>9.1035860196434282E-2</v>
      </c>
      <c r="AH286" s="137">
        <v>5.0000000000000001E-4</v>
      </c>
      <c r="AI286" s="137">
        <v>1.4E-3</v>
      </c>
      <c r="AJ286" s="137">
        <v>4.4999999999999997E-3</v>
      </c>
      <c r="AK286" s="137">
        <v>9.7999999999999997E-3</v>
      </c>
      <c r="AM286" s="137">
        <v>2.69E-2</v>
      </c>
      <c r="AN286" s="137">
        <v>4.8599999999999997E-2</v>
      </c>
      <c r="AO286" s="137">
        <v>8.6699999999999999E-2</v>
      </c>
      <c r="AQ286" s="137">
        <v>5.9999999999999995E-4</v>
      </c>
      <c r="AR286" s="137">
        <v>1.6000000000000001E-3</v>
      </c>
      <c r="AS286" s="137">
        <v>4.7999999999999996E-3</v>
      </c>
      <c r="AT286" s="137">
        <v>1.03E-2</v>
      </c>
      <c r="AV286" s="137">
        <v>2.8199999999999999E-2</v>
      </c>
      <c r="AW286" s="137">
        <v>5.0999999999999997E-2</v>
      </c>
      <c r="AX286" s="137">
        <v>9.0899999999999995E-2</v>
      </c>
    </row>
    <row r="287" spans="1:50" s="79" customFormat="1" ht="10.199999999999999" x14ac:dyDescent="0.2">
      <c r="A287" s="97">
        <f t="shared" ca="1" si="6"/>
        <v>276</v>
      </c>
      <c r="B287" s="68" t="s">
        <v>358</v>
      </c>
      <c r="C287" s="98">
        <v>0.4</v>
      </c>
      <c r="D287" s="69" t="s">
        <v>66</v>
      </c>
      <c r="E287" s="138" t="s">
        <v>87</v>
      </c>
      <c r="F287" s="158">
        <v>5.0000000000000001E-4</v>
      </c>
      <c r="G287" s="158">
        <v>6.9999999999999999E-4</v>
      </c>
      <c r="H287" s="158">
        <v>1.2999999999999999E-3</v>
      </c>
      <c r="I287" s="158">
        <v>1.6999999999999999E-3</v>
      </c>
      <c r="J287" s="158" t="s">
        <v>87</v>
      </c>
      <c r="K287" s="158">
        <v>2.8999999999999998E-3</v>
      </c>
      <c r="L287" s="158">
        <v>3.8999999999999998E-3</v>
      </c>
      <c r="M287" s="158">
        <v>4.8999999999999998E-3</v>
      </c>
      <c r="N287" s="139" cm="1">
        <f t="array" aca="1" ref="N287:AE287" ca="1">IF(OR(B287="",NOT($J$2)),"",GetStripDefaultProbability(A287,B287,Parameter_Date,CDSRollDate,E287:M287,SpreadCurveMaturities,D287,C287,$J$4,$J$6))</f>
        <v>0</v>
      </c>
      <c r="O287" s="165">
        <f ca="1"/>
        <v>4.6649647376628689E-4</v>
      </c>
      <c r="P287" s="165">
        <f ca="1"/>
        <v>1.2393840374057552E-3</v>
      </c>
      <c r="Q287" s="165">
        <f ca="1"/>
        <v>4.5220260703512372E-3</v>
      </c>
      <c r="R287" s="165">
        <f ca="1"/>
        <v>8.8254078548017922E-3</v>
      </c>
      <c r="S287" s="165">
        <f ca="1"/>
        <v>0</v>
      </c>
      <c r="T287" s="165">
        <f ca="1"/>
        <v>2.5244258187074431E-2</v>
      </c>
      <c r="U287" s="165">
        <f ca="1"/>
        <v>4.7693665232524829E-2</v>
      </c>
      <c r="V287" s="140">
        <f ca="1"/>
        <v>8.542333105276767E-2</v>
      </c>
      <c r="W287" s="139">
        <f ca="1"/>
        <v>0</v>
      </c>
      <c r="X287" s="165">
        <f ca="1"/>
        <v>5.5976917815403482E-4</v>
      </c>
      <c r="Y287" s="165">
        <f ca="1"/>
        <v>1.4058302691598579E-3</v>
      </c>
      <c r="Z287" s="165">
        <f ca="1"/>
        <v>4.8537967634728618E-3</v>
      </c>
      <c r="AA287" s="165">
        <f ca="1"/>
        <v>9.3208712746852829E-3</v>
      </c>
      <c r="AB287" s="165">
        <f ca="1"/>
        <v>0</v>
      </c>
      <c r="AC287" s="165">
        <f ca="1"/>
        <v>2.6476769492794761E-2</v>
      </c>
      <c r="AD287" s="165">
        <f ca="1"/>
        <v>5.0016980497495145E-2</v>
      </c>
      <c r="AE287" s="140">
        <f ca="1"/>
        <v>8.9519925210642892E-2</v>
      </c>
      <c r="AH287" s="137">
        <v>5.0000000000000001E-4</v>
      </c>
      <c r="AI287" s="137">
        <v>1.1999999999999999E-3</v>
      </c>
      <c r="AJ287" s="137">
        <v>4.4999999999999997E-3</v>
      </c>
      <c r="AK287" s="137">
        <v>8.8000000000000005E-3</v>
      </c>
      <c r="AM287" s="137">
        <v>2.52E-2</v>
      </c>
      <c r="AN287" s="137">
        <v>4.7600000000000003E-2</v>
      </c>
      <c r="AO287" s="137">
        <v>8.5300000000000001E-2</v>
      </c>
      <c r="AQ287" s="137">
        <v>5.0000000000000001E-4</v>
      </c>
      <c r="AR287" s="137">
        <v>1.4E-3</v>
      </c>
      <c r="AS287" s="137">
        <v>4.7999999999999996E-3</v>
      </c>
      <c r="AT287" s="137">
        <v>9.2999999999999992E-3</v>
      </c>
      <c r="AV287" s="137">
        <v>2.64E-2</v>
      </c>
      <c r="AW287" s="137">
        <v>4.99E-2</v>
      </c>
      <c r="AX287" s="137">
        <v>8.9399999999999993E-2</v>
      </c>
    </row>
    <row r="288" spans="1:50" s="79" customFormat="1" ht="10.199999999999999" x14ac:dyDescent="0.2">
      <c r="A288" s="97">
        <f t="shared" ca="1" si="6"/>
        <v>277</v>
      </c>
      <c r="B288" s="68" t="s">
        <v>359</v>
      </c>
      <c r="C288" s="98">
        <v>0.4</v>
      </c>
      <c r="D288" s="69" t="s">
        <v>66</v>
      </c>
      <c r="E288" s="138" t="s">
        <v>87</v>
      </c>
      <c r="F288" s="158">
        <v>6.9999999999999999E-4</v>
      </c>
      <c r="G288" s="158">
        <v>8.0000000000000004E-4</v>
      </c>
      <c r="H288" s="158">
        <v>1.2999999999999999E-3</v>
      </c>
      <c r="I288" s="158">
        <v>2E-3</v>
      </c>
      <c r="J288" s="158" t="s">
        <v>87</v>
      </c>
      <c r="K288" s="158">
        <v>3.3E-3</v>
      </c>
      <c r="L288" s="158">
        <v>4.0000000000000001E-3</v>
      </c>
      <c r="M288" s="158">
        <v>4.8999999999999998E-3</v>
      </c>
      <c r="N288" s="139" cm="1">
        <f t="array" aca="1" ref="N288:AE288" ca="1">IF(OR(B288="",NOT($J$2)),"",GetStripDefaultProbability(A288,B288,Parameter_Date,CDSRollDate,E288:M288,SpreadCurveMaturities,D288,C288,$J$4,$J$6))</f>
        <v>0</v>
      </c>
      <c r="O288" s="165">
        <f ca="1"/>
        <v>6.5303425461338271E-4</v>
      </c>
      <c r="P288" s="165">
        <f ca="1"/>
        <v>1.4133760813656027E-3</v>
      </c>
      <c r="Q288" s="165">
        <f ca="1"/>
        <v>4.5111641386793577E-3</v>
      </c>
      <c r="R288" s="165">
        <f ca="1"/>
        <v>1.0413644376904951E-2</v>
      </c>
      <c r="S288" s="165">
        <f ca="1"/>
        <v>0</v>
      </c>
      <c r="T288" s="165">
        <f ca="1"/>
        <v>2.8693809894656863E-2</v>
      </c>
      <c r="U288" s="165">
        <f ca="1"/>
        <v>4.8480187878614411E-2</v>
      </c>
      <c r="V288" s="140">
        <f ca="1"/>
        <v>8.4724819106601013E-2</v>
      </c>
      <c r="W288" s="139">
        <f ca="1"/>
        <v>0</v>
      </c>
      <c r="X288" s="165">
        <f ca="1"/>
        <v>7.4628912209839804E-4</v>
      </c>
      <c r="Y288" s="165">
        <f ca="1"/>
        <v>1.5797933168700817E-3</v>
      </c>
      <c r="Z288" s="165">
        <f ca="1"/>
        <v>4.8429384518453578E-3</v>
      </c>
      <c r="AA288" s="165">
        <f ca="1"/>
        <v>1.0908313877028397E-2</v>
      </c>
      <c r="AB288" s="165">
        <f ca="1"/>
        <v>0</v>
      </c>
      <c r="AC288" s="165">
        <f ca="1"/>
        <v>3.0101239610445196E-2</v>
      </c>
      <c r="AD288" s="165">
        <f ca="1"/>
        <v>5.0846079914605324E-2</v>
      </c>
      <c r="AE288" s="140">
        <f ca="1"/>
        <v>8.8790740794131962E-2</v>
      </c>
      <c r="AH288" s="137">
        <v>5.9999999999999995E-4</v>
      </c>
      <c r="AI288" s="137">
        <v>1.4E-3</v>
      </c>
      <c r="AJ288" s="137">
        <v>4.4999999999999997E-3</v>
      </c>
      <c r="AK288" s="137">
        <v>1.04E-2</v>
      </c>
      <c r="AM288" s="137">
        <v>2.86E-2</v>
      </c>
      <c r="AN288" s="137">
        <v>4.8399999999999999E-2</v>
      </c>
      <c r="AO288" s="137">
        <v>8.4599999999999995E-2</v>
      </c>
      <c r="AQ288" s="137">
        <v>6.9999999999999999E-4</v>
      </c>
      <c r="AR288" s="137">
        <v>1.6000000000000001E-3</v>
      </c>
      <c r="AS288" s="137">
        <v>4.7999999999999996E-3</v>
      </c>
      <c r="AT288" s="137">
        <v>1.09E-2</v>
      </c>
      <c r="AV288" s="137">
        <v>0.03</v>
      </c>
      <c r="AW288" s="137">
        <v>5.0700000000000002E-2</v>
      </c>
      <c r="AX288" s="137">
        <v>8.8700000000000001E-2</v>
      </c>
    </row>
    <row r="289" spans="1:50" s="79" customFormat="1" ht="10.199999999999999" x14ac:dyDescent="0.2">
      <c r="A289" s="97">
        <f t="shared" ca="1" si="6"/>
        <v>278</v>
      </c>
      <c r="B289" s="68" t="s">
        <v>360</v>
      </c>
      <c r="C289" s="98">
        <v>0.4</v>
      </c>
      <c r="D289" s="69" t="s">
        <v>67</v>
      </c>
      <c r="E289" s="138" t="s">
        <v>87</v>
      </c>
      <c r="F289" s="158" t="s">
        <v>87</v>
      </c>
      <c r="G289" s="158">
        <v>5.5000000000000003E-4</v>
      </c>
      <c r="H289" s="158" t="s">
        <v>87</v>
      </c>
      <c r="I289" s="158">
        <v>1.6999999999999999E-3</v>
      </c>
      <c r="J289" s="158" t="s">
        <v>87</v>
      </c>
      <c r="K289" s="158">
        <v>2.7499999999999998E-3</v>
      </c>
      <c r="L289" s="158">
        <v>3.8999999999999998E-3</v>
      </c>
      <c r="M289" s="158">
        <v>5.0000000000000001E-3</v>
      </c>
      <c r="N289" s="139" cm="1">
        <f t="array" aca="1" ref="N289:AE289" ca="1">IF(OR(B289="",NOT($J$2)),"",GetStripDefaultProbability(A289,B289,Parameter_Date,CDSRollDate,E289:M289,SpreadCurveMaturities,D289,C289,$J$4,$J$6))</f>
        <v>0</v>
      </c>
      <c r="O289" s="165">
        <f ca="1"/>
        <v>0</v>
      </c>
      <c r="P289" s="165">
        <f ca="1"/>
        <v>9.7034653705940777E-4</v>
      </c>
      <c r="Q289" s="165">
        <f ca="1"/>
        <v>0</v>
      </c>
      <c r="R289" s="165">
        <f ca="1"/>
        <v>8.8169643211216675E-3</v>
      </c>
      <c r="S289" s="165">
        <f ca="1"/>
        <v>0</v>
      </c>
      <c r="T289" s="165">
        <f ca="1"/>
        <v>2.3933261338429213E-2</v>
      </c>
      <c r="U289" s="165">
        <f ca="1"/>
        <v>4.8066659898389763E-2</v>
      </c>
      <c r="V289" s="140">
        <f ca="1"/>
        <v>8.8168312793170389E-2</v>
      </c>
      <c r="W289" s="139">
        <f ca="1"/>
        <v>0</v>
      </c>
      <c r="X289" s="165">
        <f ca="1"/>
        <v>0</v>
      </c>
      <c r="Y289" s="165">
        <f ca="1"/>
        <v>1.1368376046794193E-3</v>
      </c>
      <c r="Z289" s="165">
        <f ca="1"/>
        <v>0</v>
      </c>
      <c r="AA289" s="165">
        <f ca="1"/>
        <v>9.3124319617314821E-3</v>
      </c>
      <c r="AB289" s="165">
        <f ca="1"/>
        <v>0</v>
      </c>
      <c r="AC289" s="165">
        <f ca="1"/>
        <v>2.5101233315885429E-2</v>
      </c>
      <c r="AD289" s="165">
        <f ca="1"/>
        <v>5.0407699896686586E-2</v>
      </c>
      <c r="AE289" s="140">
        <f ca="1"/>
        <v>9.2419643706498245E-2</v>
      </c>
      <c r="AI289" s="137">
        <v>1E-3</v>
      </c>
      <c r="AK289" s="137">
        <v>8.8000000000000005E-3</v>
      </c>
      <c r="AM289" s="137">
        <v>2.3900000000000001E-2</v>
      </c>
      <c r="AN289" s="137">
        <v>4.8000000000000001E-2</v>
      </c>
      <c r="AO289" s="137">
        <v>8.7999999999999995E-2</v>
      </c>
      <c r="AR289" s="137">
        <v>1.1000000000000001E-3</v>
      </c>
      <c r="AT289" s="137">
        <v>9.2999999999999992E-3</v>
      </c>
      <c r="AV289" s="137">
        <v>2.5000000000000001E-2</v>
      </c>
      <c r="AW289" s="137">
        <v>5.0299999999999997E-2</v>
      </c>
      <c r="AX289" s="137">
        <v>9.2299999999999993E-2</v>
      </c>
    </row>
    <row r="290" spans="1:50" s="79" customFormat="1" ht="10.199999999999999" x14ac:dyDescent="0.2">
      <c r="A290" s="97">
        <f t="shared" ca="1" si="6"/>
        <v>279</v>
      </c>
      <c r="B290" s="68" t="s">
        <v>127</v>
      </c>
      <c r="C290" s="98">
        <v>0.4</v>
      </c>
      <c r="D290" s="69" t="s">
        <v>66</v>
      </c>
      <c r="E290" s="138" t="s">
        <v>87</v>
      </c>
      <c r="F290" s="158">
        <v>6.9999999999999999E-4</v>
      </c>
      <c r="G290" s="158">
        <v>8.9999999999999998E-4</v>
      </c>
      <c r="H290" s="158">
        <v>1.2999999999999999E-3</v>
      </c>
      <c r="I290" s="158">
        <v>1.8E-3</v>
      </c>
      <c r="J290" s="158" t="s">
        <v>87</v>
      </c>
      <c r="K290" s="158">
        <v>2.8999999999999998E-3</v>
      </c>
      <c r="L290" s="158">
        <v>3.5999999999999999E-3</v>
      </c>
      <c r="M290" s="158">
        <v>4.4000000000000003E-3</v>
      </c>
      <c r="N290" s="139" cm="1">
        <f t="array" aca="1" ref="N290:AE290" ca="1">IF(OR(B290="",NOT($J$2)),"",GetStripDefaultProbability(A290,B290,Parameter_Date,CDSRollDate,E290:M290,SpreadCurveMaturities,D290,C290,$J$4,$J$6))</f>
        <v>0</v>
      </c>
      <c r="O290" s="165">
        <f ca="1"/>
        <v>6.5303425461338271E-4</v>
      </c>
      <c r="P290" s="165">
        <f ca="1"/>
        <v>1.5919363832663791E-3</v>
      </c>
      <c r="Q290" s="165">
        <f ca="1"/>
        <v>4.5049779671811896E-3</v>
      </c>
      <c r="R290" s="165">
        <f ca="1"/>
        <v>9.3413032568433474E-3</v>
      </c>
      <c r="S290" s="165">
        <f ca="1"/>
        <v>0</v>
      </c>
      <c r="T290" s="165">
        <f ca="1"/>
        <v>2.5187106521088243E-2</v>
      </c>
      <c r="U290" s="165">
        <f ca="1"/>
        <v>4.373884782314752E-2</v>
      </c>
      <c r="V290" s="140">
        <f ca="1"/>
        <v>7.6330945809923612E-2</v>
      </c>
      <c r="W290" s="139">
        <f ca="1"/>
        <v>0</v>
      </c>
      <c r="X290" s="165">
        <f ca="1"/>
        <v>7.4628912209839804E-4</v>
      </c>
      <c r="Y290" s="165">
        <f ca="1"/>
        <v>1.7583238612038921E-3</v>
      </c>
      <c r="Z290" s="165">
        <f ca="1"/>
        <v>4.8367543420609893E-3</v>
      </c>
      <c r="AA290" s="165">
        <f ca="1"/>
        <v>9.8365087935210482E-3</v>
      </c>
      <c r="AB290" s="165">
        <f ca="1"/>
        <v>0</v>
      </c>
      <c r="AC290" s="165">
        <f ca="1"/>
        <v>2.6419521538332713E-2</v>
      </c>
      <c r="AD290" s="165">
        <f ca="1"/>
        <v>4.5873150137558327E-2</v>
      </c>
      <c r="AE290" s="140">
        <f ca="1"/>
        <v>8.0004541953453301E-2</v>
      </c>
      <c r="AH290" s="137">
        <v>5.9999999999999995E-4</v>
      </c>
      <c r="AI290" s="137">
        <v>1.6000000000000001E-3</v>
      </c>
      <c r="AJ290" s="137">
        <v>4.4999999999999997E-3</v>
      </c>
      <c r="AK290" s="137">
        <v>9.2999999999999992E-3</v>
      </c>
      <c r="AM290" s="137">
        <v>2.5100000000000001E-2</v>
      </c>
      <c r="AN290" s="137">
        <v>4.36E-2</v>
      </c>
      <c r="AO290" s="137">
        <v>7.6200000000000004E-2</v>
      </c>
      <c r="AQ290" s="137">
        <v>6.9999999999999999E-4</v>
      </c>
      <c r="AR290" s="137">
        <v>1.6999999999999999E-3</v>
      </c>
      <c r="AS290" s="137">
        <v>4.7999999999999996E-3</v>
      </c>
      <c r="AT290" s="137">
        <v>9.7999999999999997E-3</v>
      </c>
      <c r="AV290" s="137">
        <v>2.63E-2</v>
      </c>
      <c r="AW290" s="137">
        <v>4.58E-2</v>
      </c>
      <c r="AX290" s="137">
        <v>7.9899999999999999E-2</v>
      </c>
    </row>
    <row r="291" spans="1:50" s="79" customFormat="1" ht="10.199999999999999" x14ac:dyDescent="0.2">
      <c r="A291" s="97">
        <f t="shared" ca="1" si="6"/>
        <v>280</v>
      </c>
      <c r="B291" s="68" t="s">
        <v>129</v>
      </c>
      <c r="C291" s="98">
        <v>0.4</v>
      </c>
      <c r="D291" s="69" t="s">
        <v>66</v>
      </c>
      <c r="E291" s="138" t="s">
        <v>87</v>
      </c>
      <c r="F291" s="158">
        <v>5.9999999999999995E-4</v>
      </c>
      <c r="G291" s="158">
        <v>6.9999999999999999E-4</v>
      </c>
      <c r="H291" s="158">
        <v>1.1999999999999999E-3</v>
      </c>
      <c r="I291" s="158">
        <v>1.8E-3</v>
      </c>
      <c r="J291" s="158" t="s">
        <v>87</v>
      </c>
      <c r="K291" s="158">
        <v>2.8E-3</v>
      </c>
      <c r="L291" s="158">
        <v>3.5000000000000001E-3</v>
      </c>
      <c r="M291" s="158">
        <v>4.4000000000000003E-3</v>
      </c>
      <c r="N291" s="139" cm="1">
        <f t="array" aca="1" ref="N291:AE291" ca="1">IF(OR(B291="",NOT($J$2)),"",GetStripDefaultProbability(A291,B291,Parameter_Date,CDSRollDate,E291:M291,SpreadCurveMaturities,D291,C291,$J$4,$J$6))</f>
        <v>0</v>
      </c>
      <c r="O291" s="165">
        <f ca="1"/>
        <v>5.5976970645477131E-4</v>
      </c>
      <c r="P291" s="165">
        <f ca="1"/>
        <v>1.2370924096177793E-3</v>
      </c>
      <c r="Q291" s="165">
        <f ca="1"/>
        <v>4.168163598396335E-3</v>
      </c>
      <c r="R291" s="165">
        <f ca="1"/>
        <v>9.3726826398450314E-3</v>
      </c>
      <c r="S291" s="165">
        <f ca="1"/>
        <v>0</v>
      </c>
      <c r="T291" s="165">
        <f ca="1"/>
        <v>2.4323686971222447E-2</v>
      </c>
      <c r="U291" s="165">
        <f ca="1"/>
        <v>4.2565322075433842E-2</v>
      </c>
      <c r="V291" s="140">
        <f ca="1"/>
        <v>7.6640163356687219E-2</v>
      </c>
      <c r="W291" s="139">
        <f ca="1"/>
        <v>0</v>
      </c>
      <c r="X291" s="165">
        <f ca="1"/>
        <v>6.5303351059242676E-4</v>
      </c>
      <c r="Y291" s="165">
        <f ca="1"/>
        <v>1.4035390232739475E-3</v>
      </c>
      <c r="Z291" s="165">
        <f ca="1"/>
        <v>4.5000522260189024E-3</v>
      </c>
      <c r="AA291" s="165">
        <f ca="1"/>
        <v>9.8678724907363957E-3</v>
      </c>
      <c r="AB291" s="165">
        <f ca="1"/>
        <v>0</v>
      </c>
      <c r="AC291" s="165">
        <f ca="1"/>
        <v>2.5512377981640189E-2</v>
      </c>
      <c r="AD291" s="165">
        <f ca="1"/>
        <v>4.464153021627304E-2</v>
      </c>
      <c r="AE291" s="140">
        <f ca="1"/>
        <v>8.0327678912490597E-2</v>
      </c>
      <c r="AH291" s="137">
        <v>5.0000000000000001E-4</v>
      </c>
      <c r="AI291" s="137">
        <v>1.1999999999999999E-3</v>
      </c>
      <c r="AJ291" s="137">
        <v>4.1000000000000003E-3</v>
      </c>
      <c r="AK291" s="137">
        <v>9.2999999999999992E-3</v>
      </c>
      <c r="AM291" s="137">
        <v>2.4299999999999999E-2</v>
      </c>
      <c r="AN291" s="137">
        <v>4.2500000000000003E-2</v>
      </c>
      <c r="AO291" s="137">
        <v>7.6499999999999999E-2</v>
      </c>
      <c r="AQ291" s="137">
        <v>5.9999999999999995E-4</v>
      </c>
      <c r="AR291" s="137">
        <v>1.4E-3</v>
      </c>
      <c r="AS291" s="137">
        <v>4.4999999999999997E-3</v>
      </c>
      <c r="AT291" s="137">
        <v>9.7999999999999997E-3</v>
      </c>
      <c r="AV291" s="137">
        <v>2.5399999999999999E-2</v>
      </c>
      <c r="AW291" s="137">
        <v>4.4499999999999998E-2</v>
      </c>
      <c r="AX291" s="137">
        <v>8.0199999999999994E-2</v>
      </c>
    </row>
    <row r="292" spans="1:50" s="79" customFormat="1" ht="10.199999999999999" x14ac:dyDescent="0.2">
      <c r="A292" s="97">
        <f t="shared" ca="1" si="6"/>
        <v>281</v>
      </c>
      <c r="B292" s="68" t="s">
        <v>361</v>
      </c>
      <c r="C292" s="98">
        <v>0.4</v>
      </c>
      <c r="D292" s="69" t="s">
        <v>67</v>
      </c>
      <c r="E292" s="138" t="s">
        <v>87</v>
      </c>
      <c r="F292" s="158" t="s">
        <v>87</v>
      </c>
      <c r="G292" s="158">
        <v>3.1260000000000003E-2</v>
      </c>
      <c r="H292" s="158" t="s">
        <v>87</v>
      </c>
      <c r="I292" s="158">
        <v>2.2712E-2</v>
      </c>
      <c r="J292" s="158" t="s">
        <v>87</v>
      </c>
      <c r="K292" s="158">
        <v>1.9E-2</v>
      </c>
      <c r="L292" s="158">
        <v>1.7339E-2</v>
      </c>
      <c r="M292" s="158">
        <v>1.6362000000000002E-2</v>
      </c>
      <c r="N292" s="139" cm="1">
        <f t="array" aca="1" ref="N292:AE292" ca="1">IF(OR(B292="",NOT($J$2)),"",GetStripDefaultProbability(A292,B292,Parameter_Date,CDSRollDate,E292:M292,SpreadCurveMaturities,D292,C292,$J$4,$J$6))</f>
        <v>0</v>
      </c>
      <c r="O292" s="165">
        <f ca="1"/>
        <v>0</v>
      </c>
      <c r="P292" s="165">
        <f ca="1"/>
        <v>5.3681740813694701E-2</v>
      </c>
      <c r="Q292" s="165">
        <f ca="1"/>
        <v>0</v>
      </c>
      <c r="R292" s="165">
        <f ca="1"/>
        <v>0.10802016745821075</v>
      </c>
      <c r="S292" s="165">
        <f ca="1"/>
        <v>0</v>
      </c>
      <c r="T292" s="165">
        <f ca="1"/>
        <v>0.14375501186292161</v>
      </c>
      <c r="U292" s="165">
        <f ca="1"/>
        <v>0.17724048448846852</v>
      </c>
      <c r="V292" s="140">
        <f ca="1"/>
        <v>0.22945206687967934</v>
      </c>
      <c r="W292" s="139">
        <f ca="1"/>
        <v>0</v>
      </c>
      <c r="X292" s="165">
        <f ca="1"/>
        <v>0</v>
      </c>
      <c r="Y292" s="165">
        <f ca="1"/>
        <v>5.6288804942881687E-2</v>
      </c>
      <c r="Z292" s="165">
        <f ca="1"/>
        <v>0</v>
      </c>
      <c r="AA292" s="165">
        <f ca="1"/>
        <v>0.11307047754870214</v>
      </c>
      <c r="AB292" s="165">
        <f ca="1"/>
        <v>0</v>
      </c>
      <c r="AC292" s="165">
        <f ca="1"/>
        <v>0.15023714378043118</v>
      </c>
      <c r="AD292" s="165">
        <f ca="1"/>
        <v>0.18503479797772837</v>
      </c>
      <c r="AE292" s="140">
        <f ca="1"/>
        <v>0.2391934059481946</v>
      </c>
      <c r="AI292" s="137">
        <v>5.2999999999999999E-2</v>
      </c>
      <c r="AK292" s="137">
        <v>0.1076</v>
      </c>
      <c r="AM292" s="137">
        <v>0.1434</v>
      </c>
      <c r="AN292" s="137">
        <v>0.17699999999999999</v>
      </c>
      <c r="AO292" s="137">
        <v>0.22919999999999999</v>
      </c>
      <c r="AR292" s="137">
        <v>5.5599999999999997E-2</v>
      </c>
      <c r="AT292" s="137">
        <v>0.11260000000000001</v>
      </c>
      <c r="AV292" s="137">
        <v>0.14990000000000001</v>
      </c>
      <c r="AW292" s="137">
        <v>0.18479999999999999</v>
      </c>
      <c r="AX292" s="137">
        <v>0.23899999999999999</v>
      </c>
    </row>
    <row r="293" spans="1:50" s="79" customFormat="1" ht="10.199999999999999" x14ac:dyDescent="0.2">
      <c r="A293" s="97">
        <f t="shared" ca="1" si="6"/>
        <v>282</v>
      </c>
      <c r="B293" s="68" t="s">
        <v>362</v>
      </c>
      <c r="C293" s="98">
        <v>0.4</v>
      </c>
      <c r="D293" s="69" t="s">
        <v>66</v>
      </c>
      <c r="E293" s="138" t="s">
        <v>87</v>
      </c>
      <c r="F293" s="158">
        <v>4.5500000000000002E-3</v>
      </c>
      <c r="G293" s="158">
        <v>5.6800000000000002E-3</v>
      </c>
      <c r="H293" s="158">
        <v>7.9500000000000005E-3</v>
      </c>
      <c r="I293" s="158">
        <v>9.8200000000000006E-3</v>
      </c>
      <c r="J293" s="158" t="s">
        <v>87</v>
      </c>
      <c r="K293" s="158">
        <v>1.2500000000000001E-2</v>
      </c>
      <c r="L293" s="158">
        <v>1.2999999999999999E-2</v>
      </c>
      <c r="M293" s="158">
        <v>1.35E-2</v>
      </c>
      <c r="N293" s="139" cm="1">
        <f t="array" aca="1" ref="N293:AE293" ca="1">IF(OR(B293="",NOT($J$2)),"",GetStripDefaultProbability(A293,B293,Parameter_Date,CDSRollDate,E293:M293,SpreadCurveMaturities,D293,C293,$J$4,$J$6))</f>
        <v>0</v>
      </c>
      <c r="O293" s="165">
        <f ca="1"/>
        <v>4.2371282894905216E-3</v>
      </c>
      <c r="P293" s="165">
        <f ca="1"/>
        <v>1.0006045252012541E-2</v>
      </c>
      <c r="Q293" s="165">
        <f ca="1"/>
        <v>2.727220101160277E-2</v>
      </c>
      <c r="R293" s="165">
        <f ca="1"/>
        <v>4.9920306622945221E-2</v>
      </c>
      <c r="S293" s="165">
        <f ca="1"/>
        <v>0</v>
      </c>
      <c r="T293" s="165">
        <f ca="1"/>
        <v>0.10370655674345564</v>
      </c>
      <c r="U293" s="165">
        <f ca="1"/>
        <v>0.14664127840509233</v>
      </c>
      <c r="V293" s="140">
        <f ca="1"/>
        <v>0.20954712051819613</v>
      </c>
      <c r="W293" s="139">
        <f ca="1"/>
        <v>0</v>
      </c>
      <c r="X293" s="165">
        <f ca="1"/>
        <v>4.4484684865429003E-3</v>
      </c>
      <c r="Y293" s="165">
        <f ca="1"/>
        <v>1.0503917614726577E-2</v>
      </c>
      <c r="Z293" s="165">
        <f ca="1"/>
        <v>2.8618042231620566E-2</v>
      </c>
      <c r="AA293" s="165">
        <f ca="1"/>
        <v>5.2360476293229263E-2</v>
      </c>
      <c r="AB293" s="165">
        <f ca="1"/>
        <v>0</v>
      </c>
      <c r="AC293" s="165">
        <f ca="1"/>
        <v>0.10865874452398183</v>
      </c>
      <c r="AD293" s="165">
        <f ca="1"/>
        <v>0.15345940581569584</v>
      </c>
      <c r="AE293" s="140">
        <f ca="1"/>
        <v>0.21890663310645653</v>
      </c>
      <c r="AH293" s="137">
        <v>4.1000000000000003E-3</v>
      </c>
      <c r="AI293" s="137">
        <v>9.9000000000000008E-3</v>
      </c>
      <c r="AJ293" s="137">
        <v>2.7099999999999999E-2</v>
      </c>
      <c r="AK293" s="137">
        <v>4.9700000000000001E-2</v>
      </c>
      <c r="AM293" s="137">
        <v>0.10340000000000001</v>
      </c>
      <c r="AN293" s="137">
        <v>0.1464</v>
      </c>
      <c r="AO293" s="137">
        <v>0.20930000000000001</v>
      </c>
      <c r="AQ293" s="137">
        <v>4.3E-3</v>
      </c>
      <c r="AR293" s="137">
        <v>1.04E-2</v>
      </c>
      <c r="AS293" s="137">
        <v>2.8400000000000002E-2</v>
      </c>
      <c r="AT293" s="137">
        <v>5.21E-2</v>
      </c>
      <c r="AV293" s="137">
        <v>0.1084</v>
      </c>
      <c r="AW293" s="137">
        <v>0.1532</v>
      </c>
      <c r="AX293" s="137">
        <v>0.21859999999999999</v>
      </c>
    </row>
    <row r="294" spans="1:50" s="79" customFormat="1" ht="10.199999999999999" x14ac:dyDescent="0.2">
      <c r="A294" s="97">
        <f t="shared" ca="1" si="6"/>
        <v>283</v>
      </c>
      <c r="B294" s="68" t="s">
        <v>363</v>
      </c>
      <c r="C294" s="98">
        <v>0.2</v>
      </c>
      <c r="D294" s="69" t="s">
        <v>66</v>
      </c>
      <c r="E294" s="138" t="s">
        <v>87</v>
      </c>
      <c r="F294" s="158">
        <v>1.3500000000000001E-3</v>
      </c>
      <c r="G294" s="158">
        <v>2.32E-3</v>
      </c>
      <c r="H294" s="158">
        <v>3.8500000000000001E-3</v>
      </c>
      <c r="I294" s="158">
        <v>5.3400000000000001E-3</v>
      </c>
      <c r="J294" s="158" t="s">
        <v>87</v>
      </c>
      <c r="K294" s="158">
        <v>7.1999999999999998E-3</v>
      </c>
      <c r="L294" s="158">
        <v>8.0000000000000002E-3</v>
      </c>
      <c r="M294" s="158">
        <v>8.4499999999999992E-3</v>
      </c>
      <c r="N294" s="139" cm="1">
        <f t="array" aca="1" ref="N294:AE294" ca="1">IF(OR(B294="",NOT($J$2)),"",GetStripDefaultProbability(A294,B294,Parameter_Date,CDSRollDate,E294:M294,SpreadCurveMaturities,D294,C294,$J$4,$J$6))</f>
        <v>0</v>
      </c>
      <c r="O294" s="165">
        <f ca="1"/>
        <v>9.4443000645605402E-4</v>
      </c>
      <c r="P294" s="165">
        <f ca="1"/>
        <v>3.0838308475145126E-3</v>
      </c>
      <c r="Q294" s="165">
        <f ca="1"/>
        <v>1.0014169466734946E-2</v>
      </c>
      <c r="R294" s="165">
        <f ca="1"/>
        <v>2.0728680945667488E-2</v>
      </c>
      <c r="S294" s="165">
        <f ca="1"/>
        <v>0</v>
      </c>
      <c r="T294" s="165">
        <f ca="1"/>
        <v>4.6190257042181271E-2</v>
      </c>
      <c r="U294" s="165">
        <f ca="1"/>
        <v>7.1001600901640094E-2</v>
      </c>
      <c r="V294" s="140">
        <f ca="1"/>
        <v>0.10503994746804601</v>
      </c>
      <c r="W294" s="139">
        <f ca="1"/>
        <v>0</v>
      </c>
      <c r="X294" s="165">
        <f ca="1"/>
        <v>1.0143504349183763E-3</v>
      </c>
      <c r="Y294" s="165">
        <f ca="1"/>
        <v>3.2283732124601672E-3</v>
      </c>
      <c r="Z294" s="165">
        <f ca="1"/>
        <v>1.0512412333942844E-2</v>
      </c>
      <c r="AA294" s="165">
        <f ca="1"/>
        <v>2.1756143873073008E-2</v>
      </c>
      <c r="AB294" s="165">
        <f ca="1"/>
        <v>0</v>
      </c>
      <c r="AC294" s="165">
        <f ca="1"/>
        <v>4.8450611000793065E-2</v>
      </c>
      <c r="AD294" s="165">
        <f ca="1"/>
        <v>7.4437313111244685E-2</v>
      </c>
      <c r="AE294" s="140">
        <f ca="1"/>
        <v>0.11001686022918244</v>
      </c>
      <c r="AH294" s="137">
        <v>8.9999999999999998E-4</v>
      </c>
      <c r="AI294" s="137">
        <v>3.0000000000000001E-3</v>
      </c>
      <c r="AJ294" s="137">
        <v>9.9000000000000008E-3</v>
      </c>
      <c r="AK294" s="137">
        <v>2.06E-2</v>
      </c>
      <c r="AM294" s="137">
        <v>4.6100000000000002E-2</v>
      </c>
      <c r="AN294" s="137">
        <v>7.0900000000000005E-2</v>
      </c>
      <c r="AO294" s="137">
        <v>0.10489999999999999</v>
      </c>
      <c r="AQ294" s="137">
        <v>1E-3</v>
      </c>
      <c r="AR294" s="137">
        <v>3.2000000000000002E-3</v>
      </c>
      <c r="AS294" s="137">
        <v>1.04E-2</v>
      </c>
      <c r="AT294" s="137">
        <v>2.1700000000000001E-2</v>
      </c>
      <c r="AV294" s="137">
        <v>4.8300000000000003E-2</v>
      </c>
      <c r="AW294" s="137">
        <v>7.4300000000000005E-2</v>
      </c>
      <c r="AX294" s="137">
        <v>0.1099</v>
      </c>
    </row>
    <row r="295" spans="1:50" s="79" customFormat="1" ht="10.199999999999999" x14ac:dyDescent="0.2">
      <c r="A295" s="97">
        <f t="shared" ca="1" si="6"/>
        <v>284</v>
      </c>
      <c r="B295" s="68" t="s">
        <v>364</v>
      </c>
      <c r="C295" s="98">
        <v>0.4</v>
      </c>
      <c r="D295" s="69" t="s">
        <v>66</v>
      </c>
      <c r="E295" s="138" t="s">
        <v>87</v>
      </c>
      <c r="F295" s="158">
        <v>5.6999999999999998E-4</v>
      </c>
      <c r="G295" s="158">
        <v>1.24E-3</v>
      </c>
      <c r="H295" s="158">
        <v>1.9499999999999999E-3</v>
      </c>
      <c r="I295" s="158">
        <v>2.6700000000000001E-3</v>
      </c>
      <c r="J295" s="158" t="s">
        <v>87</v>
      </c>
      <c r="K295" s="158">
        <v>4.0000000000000001E-3</v>
      </c>
      <c r="L295" s="158">
        <v>4.9100000000000003E-3</v>
      </c>
      <c r="M295" s="158">
        <v>6.2899999999999996E-3</v>
      </c>
      <c r="N295" s="139" cm="1">
        <f t="array" aca="1" ref="N295:AE295" ca="1">IF(OR(B295="",NOT($J$2)),"",GetStripDefaultProbability(A295,B295,Parameter_Date,CDSRollDate,E295:M295,SpreadCurveMaturities,D295,C295,$J$4,$J$6))</f>
        <v>0</v>
      </c>
      <c r="O295" s="165">
        <f ca="1"/>
        <v>5.3178864858527408E-4</v>
      </c>
      <c r="P295" s="165">
        <f ca="1"/>
        <v>2.201967305798358E-3</v>
      </c>
      <c r="Q295" s="165">
        <f ca="1"/>
        <v>6.7697055764293079E-3</v>
      </c>
      <c r="R295" s="165">
        <f ca="1"/>
        <v>1.3846936635887763E-2</v>
      </c>
      <c r="S295" s="165">
        <f ca="1"/>
        <v>0</v>
      </c>
      <c r="T295" s="165">
        <f ca="1"/>
        <v>3.4532498488810459E-2</v>
      </c>
      <c r="U295" s="165">
        <f ca="1"/>
        <v>5.915923736172557E-2</v>
      </c>
      <c r="V295" s="140">
        <f ca="1"/>
        <v>0.10831422069124241</v>
      </c>
      <c r="W295" s="139">
        <f ca="1"/>
        <v>0</v>
      </c>
      <c r="X295" s="165">
        <f ca="1"/>
        <v>6.25055126598828E-4</v>
      </c>
      <c r="Y295" s="165">
        <f ca="1"/>
        <v>2.3682531203722545E-3</v>
      </c>
      <c r="Z295" s="165">
        <f ca="1"/>
        <v>7.1007271678868999E-3</v>
      </c>
      <c r="AA295" s="165">
        <f ca="1"/>
        <v>1.4531668058367808E-2</v>
      </c>
      <c r="AB295" s="165">
        <f ca="1"/>
        <v>0</v>
      </c>
      <c r="AC295" s="165">
        <f ca="1"/>
        <v>3.6228827890989357E-2</v>
      </c>
      <c r="AD295" s="165">
        <f ca="1"/>
        <v>6.203962970526633E-2</v>
      </c>
      <c r="AE295" s="140">
        <f ca="1"/>
        <v>0.11350105287401713</v>
      </c>
      <c r="AH295" s="137">
        <v>5.0000000000000001E-4</v>
      </c>
      <c r="AI295" s="137">
        <v>2.2000000000000001E-3</v>
      </c>
      <c r="AJ295" s="137">
        <v>6.7000000000000002E-3</v>
      </c>
      <c r="AK295" s="137">
        <v>1.38E-2</v>
      </c>
      <c r="AM295" s="137">
        <v>3.44E-2</v>
      </c>
      <c r="AN295" s="137">
        <v>5.8999999999999997E-2</v>
      </c>
      <c r="AO295" s="137">
        <v>0.1081</v>
      </c>
      <c r="AQ295" s="137">
        <v>5.9999999999999995E-4</v>
      </c>
      <c r="AR295" s="137">
        <v>2.3E-3</v>
      </c>
      <c r="AS295" s="137">
        <v>7.1000000000000004E-3</v>
      </c>
      <c r="AT295" s="137">
        <v>1.4500000000000001E-2</v>
      </c>
      <c r="AV295" s="137">
        <v>3.61E-2</v>
      </c>
      <c r="AW295" s="137">
        <v>6.1899999999999997E-2</v>
      </c>
      <c r="AX295" s="137">
        <v>0.1133</v>
      </c>
    </row>
    <row r="296" spans="1:50" s="79" customFormat="1" ht="10.199999999999999" x14ac:dyDescent="0.2">
      <c r="A296" s="97">
        <f t="shared" ca="1" si="6"/>
        <v>285</v>
      </c>
      <c r="B296" s="68" t="s">
        <v>365</v>
      </c>
      <c r="C296" s="98">
        <v>0.4</v>
      </c>
      <c r="D296" s="69" t="s">
        <v>67</v>
      </c>
      <c r="E296" s="138" t="s">
        <v>87</v>
      </c>
      <c r="F296" s="158" t="s">
        <v>87</v>
      </c>
      <c r="G296" s="158">
        <v>6.4400000000000004E-4</v>
      </c>
      <c r="H296" s="158" t="s">
        <v>87</v>
      </c>
      <c r="I296" s="158">
        <v>2.428E-3</v>
      </c>
      <c r="J296" s="158" t="s">
        <v>87</v>
      </c>
      <c r="K296" s="158">
        <v>3.3500000000000001E-3</v>
      </c>
      <c r="L296" s="158">
        <v>4.3699999999999998E-3</v>
      </c>
      <c r="M296" s="158">
        <v>5.3410000000000003E-3</v>
      </c>
      <c r="N296" s="139" cm="1">
        <f t="array" aca="1" ref="N296:AE296" ca="1">IF(OR(B296="",NOT($J$2)),"",GetStripDefaultProbability(A296,B296,Parameter_Date,CDSRollDate,E296:M296,SpreadCurveMaturities,D296,C296,$J$4,$J$6))</f>
        <v>0</v>
      </c>
      <c r="O296" s="165">
        <f ca="1"/>
        <v>0</v>
      </c>
      <c r="P296" s="165">
        <f ca="1"/>
        <v>1.1360940284930177E-3</v>
      </c>
      <c r="Q296" s="165">
        <f ca="1"/>
        <v>0</v>
      </c>
      <c r="R296" s="165">
        <f ca="1"/>
        <v>1.2593792443761465E-2</v>
      </c>
      <c r="S296" s="165">
        <f ca="1"/>
        <v>0</v>
      </c>
      <c r="T296" s="165">
        <f ca="1"/>
        <v>2.8901314341958639E-2</v>
      </c>
      <c r="U296" s="165">
        <f ca="1"/>
        <v>5.3153970194263489E-2</v>
      </c>
      <c r="V296" s="140">
        <f ca="1"/>
        <v>9.2730871841621765E-2</v>
      </c>
      <c r="W296" s="139">
        <f ca="1"/>
        <v>0</v>
      </c>
      <c r="X296" s="165">
        <f ca="1"/>
        <v>0</v>
      </c>
      <c r="Y296" s="165">
        <f ca="1"/>
        <v>1.3025574737987045E-3</v>
      </c>
      <c r="Z296" s="165">
        <f ca="1"/>
        <v>0</v>
      </c>
      <c r="AA296" s="165">
        <f ca="1"/>
        <v>1.3192966144125684E-2</v>
      </c>
      <c r="AB296" s="165">
        <f ca="1"/>
        <v>0</v>
      </c>
      <c r="AC296" s="165">
        <f ca="1"/>
        <v>3.0320879490411512E-2</v>
      </c>
      <c r="AD296" s="165">
        <f ca="1"/>
        <v>5.5745792264576877E-2</v>
      </c>
      <c r="AE296" s="140">
        <f ca="1"/>
        <v>9.719416304040096E-2</v>
      </c>
      <c r="AI296" s="137">
        <v>1.1000000000000001E-3</v>
      </c>
      <c r="AK296" s="137">
        <v>1.2500000000000001E-2</v>
      </c>
      <c r="AM296" s="137">
        <v>2.8799999999999999E-2</v>
      </c>
      <c r="AN296" s="137">
        <v>5.2999999999999999E-2</v>
      </c>
      <c r="AO296" s="137">
        <v>9.2600000000000002E-2</v>
      </c>
      <c r="AR296" s="137">
        <v>1.2999999999999999E-3</v>
      </c>
      <c r="AT296" s="137">
        <v>1.3100000000000001E-2</v>
      </c>
      <c r="AV296" s="137">
        <v>3.0200000000000001E-2</v>
      </c>
      <c r="AW296" s="137">
        <v>5.5599999999999997E-2</v>
      </c>
      <c r="AX296" s="137">
        <v>9.7000000000000003E-2</v>
      </c>
    </row>
    <row r="297" spans="1:50" s="79" customFormat="1" ht="10.199999999999999" x14ac:dyDescent="0.2">
      <c r="A297" s="97">
        <f t="shared" ca="1" si="6"/>
        <v>286</v>
      </c>
      <c r="B297" s="68" t="s">
        <v>366</v>
      </c>
      <c r="C297" s="98">
        <v>0.4</v>
      </c>
      <c r="D297" s="69" t="s">
        <v>67</v>
      </c>
      <c r="E297" s="138" t="s">
        <v>87</v>
      </c>
      <c r="F297" s="158" t="s">
        <v>87</v>
      </c>
      <c r="G297" s="158">
        <v>6.2399999999999999E-4</v>
      </c>
      <c r="H297" s="158" t="s">
        <v>87</v>
      </c>
      <c r="I297" s="158">
        <v>2.0999999999999999E-3</v>
      </c>
      <c r="J297" s="158" t="s">
        <v>87</v>
      </c>
      <c r="K297" s="158">
        <v>2.5999999999999999E-3</v>
      </c>
      <c r="L297" s="158">
        <v>3.5999999999999999E-3</v>
      </c>
      <c r="M297" s="158">
        <v>4.5999999999999999E-3</v>
      </c>
      <c r="N297" s="139" cm="1">
        <f t="array" aca="1" ref="N297:AE297" ca="1">IF(OR(B297="",NOT($J$2)),"",GetStripDefaultProbability(A297,B297,Parameter_Date,CDSRollDate,E297:M297,SpreadCurveMaturities,D297,C297,$J$4,$J$6))</f>
        <v>0</v>
      </c>
      <c r="O297" s="165">
        <f ca="1"/>
        <v>0</v>
      </c>
      <c r="P297" s="165">
        <f ca="1"/>
        <v>1.1008308907515252E-3</v>
      </c>
      <c r="Q297" s="165">
        <f ca="1"/>
        <v>0</v>
      </c>
      <c r="R297" s="165">
        <f ca="1"/>
        <v>1.0890403696126261E-2</v>
      </c>
      <c r="S297" s="165">
        <f ca="1"/>
        <v>0</v>
      </c>
      <c r="T297" s="165">
        <f ca="1"/>
        <v>2.2348013589394977E-2</v>
      </c>
      <c r="U297" s="165">
        <f ca="1"/>
        <v>4.4037300241108746E-2</v>
      </c>
      <c r="V297" s="140">
        <f ca="1"/>
        <v>8.090846093099946E-2</v>
      </c>
      <c r="W297" s="139">
        <f ca="1"/>
        <v>0</v>
      </c>
      <c r="X297" s="165">
        <f ca="1"/>
        <v>0</v>
      </c>
      <c r="Y297" s="165">
        <f ca="1"/>
        <v>1.2673002127825406E-3</v>
      </c>
      <c r="Z297" s="165">
        <f ca="1"/>
        <v>0</v>
      </c>
      <c r="AA297" s="165">
        <f ca="1"/>
        <v>1.1409549946360453E-2</v>
      </c>
      <c r="AB297" s="165">
        <f ca="1"/>
        <v>0</v>
      </c>
      <c r="AC297" s="165">
        <f ca="1"/>
        <v>2.3446823831374974E-2</v>
      </c>
      <c r="AD297" s="165">
        <f ca="1"/>
        <v>4.6191469148718522E-2</v>
      </c>
      <c r="AE297" s="140">
        <f ca="1"/>
        <v>8.4802196895631288E-2</v>
      </c>
      <c r="AI297" s="137">
        <v>1.1000000000000001E-3</v>
      </c>
      <c r="AK297" s="137">
        <v>1.0800000000000001E-2</v>
      </c>
      <c r="AM297" s="137">
        <v>2.23E-2</v>
      </c>
      <c r="AN297" s="137">
        <v>4.3900000000000002E-2</v>
      </c>
      <c r="AO297" s="137">
        <v>8.0799999999999997E-2</v>
      </c>
      <c r="AR297" s="137">
        <v>1.2999999999999999E-3</v>
      </c>
      <c r="AT297" s="137">
        <v>1.14E-2</v>
      </c>
      <c r="AV297" s="137">
        <v>2.3400000000000001E-2</v>
      </c>
      <c r="AW297" s="137">
        <v>4.6100000000000002E-2</v>
      </c>
      <c r="AX297" s="137">
        <v>8.4699999999999998E-2</v>
      </c>
    </row>
    <row r="298" spans="1:50" s="79" customFormat="1" ht="10.199999999999999" x14ac:dyDescent="0.2">
      <c r="A298" s="97">
        <f t="shared" ca="1" si="6"/>
        <v>287</v>
      </c>
      <c r="B298" s="68" t="s">
        <v>367</v>
      </c>
      <c r="C298" s="98">
        <v>0.4</v>
      </c>
      <c r="D298" s="69" t="s">
        <v>67</v>
      </c>
      <c r="E298" s="138" t="s">
        <v>87</v>
      </c>
      <c r="F298" s="158" t="s">
        <v>87</v>
      </c>
      <c r="G298" s="158">
        <v>1.1999999999999999E-3</v>
      </c>
      <c r="H298" s="158" t="s">
        <v>87</v>
      </c>
      <c r="I298" s="158">
        <v>2E-3</v>
      </c>
      <c r="J298" s="158" t="s">
        <v>87</v>
      </c>
      <c r="K298" s="158">
        <v>3.0000000000000001E-3</v>
      </c>
      <c r="L298" s="158">
        <v>4.0000000000000001E-3</v>
      </c>
      <c r="M298" s="158">
        <v>5.4999999999999997E-3</v>
      </c>
      <c r="N298" s="139" cm="1">
        <f t="array" aca="1" ref="N298:AE298" ca="1">IF(OR(B298="",NOT($J$2)),"",GetStripDefaultProbability(A298,B298,Parameter_Date,CDSRollDate,E298:M298,SpreadCurveMaturities,D298,C298,$J$4,$J$6))</f>
        <v>0</v>
      </c>
      <c r="O298" s="165">
        <f ca="1"/>
        <v>0</v>
      </c>
      <c r="P298" s="165">
        <f ca="1"/>
        <v>2.1159148818730156E-3</v>
      </c>
      <c r="Q298" s="165">
        <f ca="1"/>
        <v>0</v>
      </c>
      <c r="R298" s="165">
        <f ca="1"/>
        <v>1.0294406083315666E-2</v>
      </c>
      <c r="S298" s="165">
        <f ca="1"/>
        <v>0</v>
      </c>
      <c r="T298" s="165">
        <f ca="1"/>
        <v>2.5926195736326707E-2</v>
      </c>
      <c r="U298" s="165">
        <f ca="1"/>
        <v>4.8848507164017674E-2</v>
      </c>
      <c r="V298" s="140">
        <f ca="1"/>
        <v>9.7174864172789643E-2</v>
      </c>
      <c r="W298" s="139">
        <f ca="1"/>
        <v>0</v>
      </c>
      <c r="X298" s="165">
        <f ca="1"/>
        <v>0</v>
      </c>
      <c r="Y298" s="165">
        <f ca="1"/>
        <v>2.2822150373292827E-3</v>
      </c>
      <c r="Z298" s="165">
        <f ca="1"/>
        <v>0</v>
      </c>
      <c r="AA298" s="165">
        <f ca="1"/>
        <v>1.0789135187686982E-2</v>
      </c>
      <c r="AB298" s="165">
        <f ca="1"/>
        <v>0</v>
      </c>
      <c r="AC298" s="165">
        <f ca="1"/>
        <v>2.7203701736612018E-2</v>
      </c>
      <c r="AD298" s="165">
        <f ca="1"/>
        <v>5.1238120325872494E-2</v>
      </c>
      <c r="AE298" s="140">
        <f ca="1"/>
        <v>0.10186316066868029</v>
      </c>
      <c r="AI298" s="137">
        <v>2.0999999999999999E-3</v>
      </c>
      <c r="AK298" s="137">
        <v>1.0200000000000001E-2</v>
      </c>
      <c r="AM298" s="137">
        <v>2.5899999999999999E-2</v>
      </c>
      <c r="AN298" s="137">
        <v>4.87E-2</v>
      </c>
      <c r="AO298" s="137">
        <v>9.7000000000000003E-2</v>
      </c>
      <c r="AR298" s="137">
        <v>2.3E-3</v>
      </c>
      <c r="AT298" s="137">
        <v>1.0699999999999999E-2</v>
      </c>
      <c r="AV298" s="137">
        <v>2.7099999999999999E-2</v>
      </c>
      <c r="AW298" s="137">
        <v>5.11E-2</v>
      </c>
      <c r="AX298" s="137">
        <v>0.1017</v>
      </c>
    </row>
    <row r="299" spans="1:50" s="79" customFormat="1" ht="10.199999999999999" x14ac:dyDescent="0.2">
      <c r="A299" s="97">
        <f t="shared" ca="1" si="6"/>
        <v>288</v>
      </c>
      <c r="B299" s="68" t="s">
        <v>368</v>
      </c>
      <c r="C299" s="98">
        <v>0.4</v>
      </c>
      <c r="D299" s="69" t="s">
        <v>67</v>
      </c>
      <c r="E299" s="138" t="s">
        <v>87</v>
      </c>
      <c r="F299" s="158" t="s">
        <v>87</v>
      </c>
      <c r="G299" s="158">
        <v>1.1999999999999999E-3</v>
      </c>
      <c r="H299" s="158" t="s">
        <v>87</v>
      </c>
      <c r="I299" s="158">
        <v>2E-3</v>
      </c>
      <c r="J299" s="158" t="s">
        <v>87</v>
      </c>
      <c r="K299" s="158">
        <v>3.0000000000000001E-3</v>
      </c>
      <c r="L299" s="158">
        <v>4.0000000000000001E-3</v>
      </c>
      <c r="M299" s="158">
        <v>5.4999999999999997E-3</v>
      </c>
      <c r="N299" s="139" cm="1">
        <f t="array" aca="1" ref="N299:AE299" ca="1">IF(OR(B299="",NOT($J$2)),"",GetStripDefaultProbability(A299,B299,Parameter_Date,CDSRollDate,E299:M299,SpreadCurveMaturities,D299,C299,$J$4,$J$6))</f>
        <v>0</v>
      </c>
      <c r="O299" s="165">
        <f ca="1"/>
        <v>0</v>
      </c>
      <c r="P299" s="165">
        <f ca="1"/>
        <v>2.1159148818730156E-3</v>
      </c>
      <c r="Q299" s="165">
        <f ca="1"/>
        <v>0</v>
      </c>
      <c r="R299" s="165">
        <f ca="1"/>
        <v>1.0294406083315666E-2</v>
      </c>
      <c r="S299" s="165">
        <f ca="1"/>
        <v>0</v>
      </c>
      <c r="T299" s="165">
        <f ca="1"/>
        <v>2.5926195736326707E-2</v>
      </c>
      <c r="U299" s="165">
        <f ca="1"/>
        <v>4.8848507164017674E-2</v>
      </c>
      <c r="V299" s="140">
        <f ca="1"/>
        <v>9.7174864172789643E-2</v>
      </c>
      <c r="W299" s="139">
        <f ca="1"/>
        <v>0</v>
      </c>
      <c r="X299" s="165">
        <f ca="1"/>
        <v>0</v>
      </c>
      <c r="Y299" s="165">
        <f ca="1"/>
        <v>2.2822150373292827E-3</v>
      </c>
      <c r="Z299" s="165">
        <f ca="1"/>
        <v>0</v>
      </c>
      <c r="AA299" s="165">
        <f ca="1"/>
        <v>1.0789135187686982E-2</v>
      </c>
      <c r="AB299" s="165">
        <f ca="1"/>
        <v>0</v>
      </c>
      <c r="AC299" s="165">
        <f ca="1"/>
        <v>2.7203701736612018E-2</v>
      </c>
      <c r="AD299" s="165">
        <f ca="1"/>
        <v>5.1238120325872494E-2</v>
      </c>
      <c r="AE299" s="140">
        <f ca="1"/>
        <v>0.10186316066868029</v>
      </c>
      <c r="AI299" s="137">
        <v>2.0999999999999999E-3</v>
      </c>
      <c r="AK299" s="137">
        <v>1.0200000000000001E-2</v>
      </c>
      <c r="AM299" s="137">
        <v>2.5899999999999999E-2</v>
      </c>
      <c r="AN299" s="137">
        <v>4.87E-2</v>
      </c>
      <c r="AO299" s="137">
        <v>9.7000000000000003E-2</v>
      </c>
      <c r="AR299" s="137">
        <v>2.3E-3</v>
      </c>
      <c r="AT299" s="137">
        <v>1.0699999999999999E-2</v>
      </c>
      <c r="AV299" s="137">
        <v>2.7099999999999999E-2</v>
      </c>
      <c r="AW299" s="137">
        <v>5.11E-2</v>
      </c>
      <c r="AX299" s="137">
        <v>0.1017</v>
      </c>
    </row>
    <row r="300" spans="1:50" s="79" customFormat="1" ht="10.199999999999999" x14ac:dyDescent="0.2">
      <c r="A300" s="97">
        <f t="shared" ca="1" si="6"/>
        <v>289</v>
      </c>
      <c r="B300" s="68" t="s">
        <v>369</v>
      </c>
      <c r="C300" s="98">
        <v>0.4</v>
      </c>
      <c r="D300" s="69" t="s">
        <v>67</v>
      </c>
      <c r="E300" s="138" t="s">
        <v>87</v>
      </c>
      <c r="F300" s="158" t="s">
        <v>87</v>
      </c>
      <c r="G300" s="158">
        <v>4.8799999999999999E-4</v>
      </c>
      <c r="H300" s="158" t="s">
        <v>87</v>
      </c>
      <c r="I300" s="158">
        <v>1.9499999999999999E-3</v>
      </c>
      <c r="J300" s="158" t="s">
        <v>87</v>
      </c>
      <c r="K300" s="158">
        <v>2.65E-3</v>
      </c>
      <c r="L300" s="158">
        <v>3.5500000000000002E-3</v>
      </c>
      <c r="M300" s="158">
        <v>4.5500000000000002E-3</v>
      </c>
      <c r="N300" s="139" cm="1">
        <f t="array" aca="1" ref="N300:AE300" ca="1">IF(OR(B300="",NOT($J$2)),"",GetStripDefaultProbability(A300,B300,Parameter_Date,CDSRollDate,E300:M300,SpreadCurveMaturities,D300,C300,$J$4,$J$6))</f>
        <v>0</v>
      </c>
      <c r="O300" s="165">
        <f ca="1"/>
        <v>0</v>
      </c>
      <c r="P300" s="165">
        <f ca="1"/>
        <v>8.6100878275441328E-4</v>
      </c>
      <c r="Q300" s="165">
        <f ca="1"/>
        <v>0</v>
      </c>
      <c r="R300" s="165">
        <f ca="1"/>
        <v>1.0127388349916111E-2</v>
      </c>
      <c r="S300" s="165">
        <f ca="1"/>
        <v>0</v>
      </c>
      <c r="T300" s="165">
        <f ca="1"/>
        <v>2.290038446632281E-2</v>
      </c>
      <c r="U300" s="165">
        <f ca="1"/>
        <v>4.3428757842083221E-2</v>
      </c>
      <c r="V300" s="140">
        <f ca="1"/>
        <v>8.0083657831250377E-2</v>
      </c>
      <c r="W300" s="139">
        <f ca="1"/>
        <v>0</v>
      </c>
      <c r="X300" s="165">
        <f ca="1"/>
        <v>0</v>
      </c>
      <c r="Y300" s="165">
        <f ca="1"/>
        <v>1.0275180718086752E-3</v>
      </c>
      <c r="Z300" s="165">
        <f ca="1"/>
        <v>0</v>
      </c>
      <c r="AA300" s="165">
        <f ca="1"/>
        <v>1.0622200942290272E-2</v>
      </c>
      <c r="AB300" s="165">
        <f ca="1"/>
        <v>0</v>
      </c>
      <c r="AC300" s="165">
        <f ca="1"/>
        <v>2.4024123241987105E-2</v>
      </c>
      <c r="AD300" s="165">
        <f ca="1"/>
        <v>4.5551541013944319E-2</v>
      </c>
      <c r="AE300" s="140">
        <f ca="1"/>
        <v>8.3936669862124891E-2</v>
      </c>
      <c r="AI300" s="137">
        <v>8.0000000000000004E-4</v>
      </c>
      <c r="AK300" s="137">
        <v>1.01E-2</v>
      </c>
      <c r="AM300" s="137">
        <v>2.2800000000000001E-2</v>
      </c>
      <c r="AN300" s="137">
        <v>4.3299999999999998E-2</v>
      </c>
      <c r="AO300" s="137">
        <v>0.08</v>
      </c>
      <c r="AR300" s="137">
        <v>1E-3</v>
      </c>
      <c r="AT300" s="137">
        <v>1.06E-2</v>
      </c>
      <c r="AV300" s="137">
        <v>2.4E-2</v>
      </c>
      <c r="AW300" s="137">
        <v>4.5499999999999999E-2</v>
      </c>
      <c r="AX300" s="137">
        <v>8.3799999999999999E-2</v>
      </c>
    </row>
    <row r="301" spans="1:50" s="79" customFormat="1" ht="10.199999999999999" x14ac:dyDescent="0.2">
      <c r="A301" s="97">
        <f t="shared" ca="1" si="6"/>
        <v>290</v>
      </c>
      <c r="B301" s="68" t="s">
        <v>370</v>
      </c>
      <c r="C301" s="98">
        <v>0.4</v>
      </c>
      <c r="D301" s="69" t="s">
        <v>67</v>
      </c>
      <c r="E301" s="138" t="s">
        <v>87</v>
      </c>
      <c r="F301" s="158" t="s">
        <v>87</v>
      </c>
      <c r="G301" s="158">
        <v>7.2199999999999999E-4</v>
      </c>
      <c r="H301" s="158" t="s">
        <v>87</v>
      </c>
      <c r="I301" s="158">
        <v>1.7849999999999999E-3</v>
      </c>
      <c r="J301" s="158" t="s">
        <v>87</v>
      </c>
      <c r="K301" s="158">
        <v>2.5500000000000002E-3</v>
      </c>
      <c r="L301" s="158">
        <v>3.4719999999999998E-3</v>
      </c>
      <c r="M301" s="158">
        <v>4.3400000000000001E-3</v>
      </c>
      <c r="N301" s="139" cm="1">
        <f t="array" aca="1" ref="N301:AE301" ca="1">IF(OR(B301="",NOT($J$2)),"",GetStripDefaultProbability(A301,B301,Parameter_Date,CDSRollDate,E301:M301,SpreadCurveMaturities,D301,C301,$J$4,$J$6))</f>
        <v>0</v>
      </c>
      <c r="O301" s="165">
        <f ca="1"/>
        <v>0</v>
      </c>
      <c r="P301" s="165">
        <f ca="1"/>
        <v>1.273608460742981E-3</v>
      </c>
      <c r="Q301" s="165">
        <f ca="1"/>
        <v>0</v>
      </c>
      <c r="R301" s="165">
        <f ca="1"/>
        <v>9.237479778208324E-3</v>
      </c>
      <c r="S301" s="165">
        <f ca="1"/>
        <v>0</v>
      </c>
      <c r="T301" s="165">
        <f ca="1"/>
        <v>2.2061102458398318E-2</v>
      </c>
      <c r="U301" s="165">
        <f ca="1"/>
        <v>4.2569997931531822E-2</v>
      </c>
      <c r="V301" s="140">
        <f ca="1"/>
        <v>7.6290239895131506E-2</v>
      </c>
      <c r="W301" s="139">
        <f ca="1"/>
        <v>0</v>
      </c>
      <c r="X301" s="165">
        <f ca="1"/>
        <v>0</v>
      </c>
      <c r="Y301" s="165">
        <f ca="1"/>
        <v>1.4400489889150325E-3</v>
      </c>
      <c r="Z301" s="165">
        <f ca="1"/>
        <v>0</v>
      </c>
      <c r="AA301" s="165">
        <f ca="1"/>
        <v>9.7327372136611912E-3</v>
      </c>
      <c r="AB301" s="165">
        <f ca="1"/>
        <v>0</v>
      </c>
      <c r="AC301" s="165">
        <f ca="1"/>
        <v>2.3140639293866561E-2</v>
      </c>
      <c r="AD301" s="165">
        <f ca="1"/>
        <v>4.4648590501448093E-2</v>
      </c>
      <c r="AE301" s="140">
        <f ca="1"/>
        <v>7.9963841796402257E-2</v>
      </c>
      <c r="AI301" s="137">
        <v>1.2999999999999999E-3</v>
      </c>
      <c r="AK301" s="137">
        <v>9.1999999999999998E-3</v>
      </c>
      <c r="AM301" s="137">
        <v>2.1999999999999999E-2</v>
      </c>
      <c r="AN301" s="137">
        <v>4.2500000000000003E-2</v>
      </c>
      <c r="AO301" s="137">
        <v>7.6200000000000004E-2</v>
      </c>
      <c r="AR301" s="137">
        <v>1.4E-3</v>
      </c>
      <c r="AT301" s="137">
        <v>9.7000000000000003E-3</v>
      </c>
      <c r="AV301" s="137">
        <v>2.3099999999999999E-2</v>
      </c>
      <c r="AW301" s="137">
        <v>4.4600000000000001E-2</v>
      </c>
      <c r="AX301" s="137">
        <v>7.9799999999999996E-2</v>
      </c>
    </row>
    <row r="302" spans="1:50" s="79" customFormat="1" ht="10.199999999999999" x14ac:dyDescent="0.2">
      <c r="A302" s="97">
        <f t="shared" ca="1" si="6"/>
        <v>291</v>
      </c>
      <c r="B302" s="68" t="s">
        <v>371</v>
      </c>
      <c r="C302" s="98">
        <v>0.4</v>
      </c>
      <c r="D302" s="69" t="s">
        <v>66</v>
      </c>
      <c r="E302" s="138" t="s">
        <v>87</v>
      </c>
      <c r="F302" s="158">
        <v>5.9999999999999995E-4</v>
      </c>
      <c r="G302" s="158">
        <v>5.9999999999999995E-4</v>
      </c>
      <c r="H302" s="158">
        <v>1.1999999999999999E-3</v>
      </c>
      <c r="I302" s="158">
        <v>1.8E-3</v>
      </c>
      <c r="J302" s="158" t="s">
        <v>87</v>
      </c>
      <c r="K302" s="158">
        <v>2.8999999999999998E-3</v>
      </c>
      <c r="L302" s="158">
        <v>3.5000000000000001E-3</v>
      </c>
      <c r="M302" s="158">
        <v>4.4999999999999997E-3</v>
      </c>
      <c r="N302" s="139" cm="1">
        <f t="array" aca="1" ref="N302:AE302" ca="1">IF(OR(B302="",NOT($J$2)),"",GetStripDefaultProbability(A302,B302,Parameter_Date,CDSRollDate,E302:M302,SpreadCurveMaturities,D302,C302,$J$4,$J$6))</f>
        <v>0</v>
      </c>
      <c r="O302" s="165">
        <f ca="1"/>
        <v>5.5976970645477131E-4</v>
      </c>
      <c r="P302" s="165">
        <f ca="1"/>
        <v>1.0584942265940978E-3</v>
      </c>
      <c r="Q302" s="165">
        <f ca="1"/>
        <v>4.1743287011339891E-3</v>
      </c>
      <c r="R302" s="165">
        <f ca="1"/>
        <v>9.3789647097177742E-3</v>
      </c>
      <c r="S302" s="165">
        <f ca="1"/>
        <v>0</v>
      </c>
      <c r="T302" s="165">
        <f ca="1"/>
        <v>2.5225957163589885E-2</v>
      </c>
      <c r="U302" s="165">
        <f ca="1"/>
        <v>4.2478416957425047E-2</v>
      </c>
      <c r="V302" s="140">
        <f ca="1"/>
        <v>7.8472637230347253E-2</v>
      </c>
      <c r="W302" s="139">
        <f ca="1"/>
        <v>0</v>
      </c>
      <c r="X302" s="165">
        <f ca="1"/>
        <v>6.5303351059242676E-4</v>
      </c>
      <c r="Y302" s="165">
        <f ca="1"/>
        <v>1.2249706041407293E-3</v>
      </c>
      <c r="Z302" s="165">
        <f ca="1"/>
        <v>4.506215274052594E-3</v>
      </c>
      <c r="AA302" s="165">
        <f ca="1"/>
        <v>9.8741514203750658E-3</v>
      </c>
      <c r="AB302" s="165">
        <f ca="1"/>
        <v>0</v>
      </c>
      <c r="AC302" s="165">
        <f ca="1"/>
        <v>2.645854956972038E-2</v>
      </c>
      <c r="AD302" s="165">
        <f ca="1"/>
        <v>4.4549857243058932E-2</v>
      </c>
      <c r="AE302" s="140">
        <f ca="1"/>
        <v>8.2244957168391752E-2</v>
      </c>
      <c r="AH302" s="137">
        <v>5.0000000000000001E-4</v>
      </c>
      <c r="AI302" s="137">
        <v>1E-3</v>
      </c>
      <c r="AJ302" s="137">
        <v>4.1000000000000003E-3</v>
      </c>
      <c r="AK302" s="137">
        <v>9.2999999999999992E-3</v>
      </c>
      <c r="AM302" s="137">
        <v>2.52E-2</v>
      </c>
      <c r="AN302" s="137">
        <v>4.24E-2</v>
      </c>
      <c r="AO302" s="137">
        <v>7.8399999999999997E-2</v>
      </c>
      <c r="AQ302" s="137">
        <v>5.9999999999999995E-4</v>
      </c>
      <c r="AR302" s="137">
        <v>1.1999999999999999E-3</v>
      </c>
      <c r="AS302" s="137">
        <v>4.4999999999999997E-3</v>
      </c>
      <c r="AT302" s="137">
        <v>9.7999999999999997E-3</v>
      </c>
      <c r="AV302" s="137">
        <v>2.64E-2</v>
      </c>
      <c r="AW302" s="137">
        <v>4.4499999999999998E-2</v>
      </c>
      <c r="AX302" s="137">
        <v>8.2100000000000006E-2</v>
      </c>
    </row>
    <row r="303" spans="1:50" s="79" customFormat="1" ht="10.199999999999999" x14ac:dyDescent="0.2">
      <c r="A303" s="97">
        <f t="shared" ca="1" si="6"/>
        <v>292</v>
      </c>
      <c r="B303" s="68" t="s">
        <v>372</v>
      </c>
      <c r="C303" s="98">
        <v>0.4</v>
      </c>
      <c r="D303" s="69" t="s">
        <v>67</v>
      </c>
      <c r="E303" s="138" t="s">
        <v>87</v>
      </c>
      <c r="F303" s="158" t="s">
        <v>87</v>
      </c>
      <c r="G303" s="158">
        <v>6.5200000000000002E-4</v>
      </c>
      <c r="H303" s="158" t="s">
        <v>87</v>
      </c>
      <c r="I303" s="158">
        <v>1.8649999999999999E-3</v>
      </c>
      <c r="J303" s="158" t="s">
        <v>87</v>
      </c>
      <c r="K303" s="158">
        <v>2.7000000000000001E-3</v>
      </c>
      <c r="L303" s="158">
        <v>3.3869999999999998E-3</v>
      </c>
      <c r="M303" s="158">
        <v>4.0249999999999999E-3</v>
      </c>
      <c r="N303" s="139" cm="1">
        <f t="array" aca="1" ref="N303:AE303" ca="1">IF(OR(B303="",NOT($J$2)),"",GetStripDefaultProbability(A303,B303,Parameter_Date,CDSRollDate,E303:M303,SpreadCurveMaturities,D303,C303,$J$4,$J$6))</f>
        <v>0</v>
      </c>
      <c r="O303" s="165">
        <f ca="1"/>
        <v>0</v>
      </c>
      <c r="P303" s="165">
        <f ca="1"/>
        <v>1.1501989376376809E-3</v>
      </c>
      <c r="Q303" s="165">
        <f ca="1"/>
        <v>0</v>
      </c>
      <c r="R303" s="165">
        <f ca="1"/>
        <v>9.6632930102085179E-3</v>
      </c>
      <c r="S303" s="165">
        <f ca="1"/>
        <v>0</v>
      </c>
      <c r="T303" s="165">
        <f ca="1"/>
        <v>2.337654216171825E-2</v>
      </c>
      <c r="U303" s="165">
        <f ca="1"/>
        <v>4.1252311947659881E-2</v>
      </c>
      <c r="V303" s="140">
        <f ca="1"/>
        <v>7.0069429162687435E-2</v>
      </c>
      <c r="W303" s="139">
        <f ca="1"/>
        <v>0</v>
      </c>
      <c r="X303" s="165">
        <f ca="1"/>
        <v>0</v>
      </c>
      <c r="Y303" s="165">
        <f ca="1"/>
        <v>1.3166600323534228E-3</v>
      </c>
      <c r="Z303" s="165">
        <f ca="1"/>
        <v>0</v>
      </c>
      <c r="AA303" s="165">
        <f ca="1"/>
        <v>1.0158337592271804E-2</v>
      </c>
      <c r="AB303" s="165">
        <f ca="1"/>
        <v>0</v>
      </c>
      <c r="AC303" s="165">
        <f ca="1"/>
        <v>2.4522311287250576E-2</v>
      </c>
      <c r="AD303" s="165">
        <f ca="1"/>
        <v>4.3268305196283885E-2</v>
      </c>
      <c r="AE303" s="140">
        <f ca="1"/>
        <v>7.3450811093686896E-2</v>
      </c>
      <c r="AI303" s="137">
        <v>1.1000000000000001E-3</v>
      </c>
      <c r="AK303" s="137">
        <v>9.5999999999999992E-3</v>
      </c>
      <c r="AM303" s="137">
        <v>2.3300000000000001E-2</v>
      </c>
      <c r="AN303" s="137">
        <v>4.1200000000000001E-2</v>
      </c>
      <c r="AO303" s="137">
        <v>7.0000000000000007E-2</v>
      </c>
      <c r="AR303" s="137">
        <v>1.2999999999999999E-3</v>
      </c>
      <c r="AT303" s="137">
        <v>1.01E-2</v>
      </c>
      <c r="AV303" s="137">
        <v>2.4500000000000001E-2</v>
      </c>
      <c r="AW303" s="137">
        <v>4.3200000000000002E-2</v>
      </c>
      <c r="AX303" s="137">
        <v>7.3300000000000004E-2</v>
      </c>
    </row>
    <row r="304" spans="1:50" s="79" customFormat="1" ht="10.199999999999999" x14ac:dyDescent="0.2">
      <c r="A304" s="97">
        <f t="shared" ca="1" si="6"/>
        <v>293</v>
      </c>
      <c r="B304" s="68" t="s">
        <v>373</v>
      </c>
      <c r="C304" s="98">
        <v>0.4</v>
      </c>
      <c r="D304" s="69" t="s">
        <v>66</v>
      </c>
      <c r="E304" s="138" t="s">
        <v>87</v>
      </c>
      <c r="F304" s="158">
        <v>5.0000000000000001E-4</v>
      </c>
      <c r="G304" s="158">
        <v>5.0000000000000001E-4</v>
      </c>
      <c r="H304" s="158">
        <v>1E-3</v>
      </c>
      <c r="I304" s="158">
        <v>1.5E-3</v>
      </c>
      <c r="J304" s="158" t="s">
        <v>87</v>
      </c>
      <c r="K304" s="158">
        <v>2.5999999999999999E-3</v>
      </c>
      <c r="L304" s="158">
        <v>3.3E-3</v>
      </c>
      <c r="M304" s="158">
        <v>4.0000000000000001E-3</v>
      </c>
      <c r="N304" s="139" cm="1">
        <f t="array" aca="1" ref="N304:AE304" ca="1">IF(OR(B304="",NOT($J$2)),"",GetStripDefaultProbability(A304,B304,Parameter_Date,CDSRollDate,E304:M304,SpreadCurveMaturities,D304,C304,$J$4,$J$6))</f>
        <v>0</v>
      </c>
      <c r="O304" s="165">
        <f ca="1"/>
        <v>4.6649647376628689E-4</v>
      </c>
      <c r="P304" s="165">
        <f ca="1"/>
        <v>8.8215636935595754E-4</v>
      </c>
      <c r="Q304" s="165">
        <f ca="1"/>
        <v>3.4794943157031577E-3</v>
      </c>
      <c r="R304" s="165">
        <f ca="1"/>
        <v>7.8199910264372674E-3</v>
      </c>
      <c r="S304" s="165">
        <f ca="1"/>
        <v>0</v>
      </c>
      <c r="T304" s="165">
        <f ca="1"/>
        <v>2.269687764270345E-2</v>
      </c>
      <c r="U304" s="165">
        <f ca="1"/>
        <v>4.031734819364885E-2</v>
      </c>
      <c r="V304" s="140">
        <f ca="1"/>
        <v>6.9664989300632585E-2</v>
      </c>
      <c r="W304" s="139">
        <f ca="1"/>
        <v>0</v>
      </c>
      <c r="X304" s="165">
        <f ca="1"/>
        <v>5.5976917815403482E-4</v>
      </c>
      <c r="Y304" s="165">
        <f ca="1"/>
        <v>1.0486621340873858E-3</v>
      </c>
      <c r="Z304" s="165">
        <f ca="1"/>
        <v>3.8116124614929747E-3</v>
      </c>
      <c r="AA304" s="165">
        <f ca="1"/>
        <v>8.315957029087051E-3</v>
      </c>
      <c r="AB304" s="165">
        <f ca="1"/>
        <v>0</v>
      </c>
      <c r="AC304" s="165">
        <f ca="1"/>
        <v>2.3797940718913058E-2</v>
      </c>
      <c r="AD304" s="165">
        <f ca="1"/>
        <v>4.2277513769318986E-2</v>
      </c>
      <c r="AE304" s="140">
        <f ca="1"/>
        <v>7.3018425965287181E-2</v>
      </c>
      <c r="AH304" s="137">
        <v>5.0000000000000001E-4</v>
      </c>
      <c r="AI304" s="137">
        <v>8.9999999999999998E-4</v>
      </c>
      <c r="AJ304" s="137">
        <v>3.5000000000000001E-3</v>
      </c>
      <c r="AK304" s="137">
        <v>7.7999999999999996E-3</v>
      </c>
      <c r="AM304" s="137">
        <v>2.2599999999999999E-2</v>
      </c>
      <c r="AN304" s="137">
        <v>4.02E-2</v>
      </c>
      <c r="AO304" s="137">
        <v>6.9599999999999995E-2</v>
      </c>
      <c r="AQ304" s="137">
        <v>5.0000000000000001E-4</v>
      </c>
      <c r="AR304" s="137">
        <v>1E-3</v>
      </c>
      <c r="AS304" s="137">
        <v>3.8E-3</v>
      </c>
      <c r="AT304" s="137">
        <v>8.3000000000000001E-3</v>
      </c>
      <c r="AV304" s="137">
        <v>2.3699999999999999E-2</v>
      </c>
      <c r="AW304" s="137">
        <v>4.2200000000000001E-2</v>
      </c>
      <c r="AX304" s="137">
        <v>7.2900000000000006E-2</v>
      </c>
    </row>
    <row r="305" spans="1:50" s="79" customFormat="1" ht="10.199999999999999" x14ac:dyDescent="0.2">
      <c r="A305" s="97">
        <f t="shared" ca="1" si="6"/>
        <v>294</v>
      </c>
      <c r="B305" s="68" t="s">
        <v>150</v>
      </c>
      <c r="C305" s="98">
        <v>0.4</v>
      </c>
      <c r="D305" s="69" t="s">
        <v>66</v>
      </c>
      <c r="E305" s="138" t="s">
        <v>87</v>
      </c>
      <c r="F305" s="158">
        <v>4.0000000000000002E-4</v>
      </c>
      <c r="G305" s="158">
        <v>5.9999999999999995E-4</v>
      </c>
      <c r="H305" s="158">
        <v>1.1000000000000001E-3</v>
      </c>
      <c r="I305" s="158">
        <v>1.4E-3</v>
      </c>
      <c r="J305" s="158" t="s">
        <v>87</v>
      </c>
      <c r="K305" s="158">
        <v>2.3999999999999998E-3</v>
      </c>
      <c r="L305" s="158">
        <v>3.2000000000000002E-3</v>
      </c>
      <c r="M305" s="158">
        <v>4.1000000000000003E-3</v>
      </c>
      <c r="N305" s="139" cm="1">
        <f t="array" aca="1" ref="N305:AE305" ca="1">IF(OR(B305="",NOT($J$2)),"",GetStripDefaultProbability(A305,B305,Parameter_Date,CDSRollDate,E305:M305,SpreadCurveMaturities,D305,C305,$J$4,$J$6))</f>
        <v>0</v>
      </c>
      <c r="O305" s="165">
        <f ca="1"/>
        <v>3.7321455535799242E-4</v>
      </c>
      <c r="P305" s="165">
        <f ca="1"/>
        <v>1.0630611822488589E-3</v>
      </c>
      <c r="Q305" s="165">
        <f ca="1"/>
        <v>3.8273671043834723E-3</v>
      </c>
      <c r="R305" s="165">
        <f ca="1"/>
        <v>7.2662306785012953E-3</v>
      </c>
      <c r="S305" s="165">
        <f ca="1"/>
        <v>0</v>
      </c>
      <c r="T305" s="165">
        <f ca="1"/>
        <v>2.0920109861846559E-2</v>
      </c>
      <c r="U305" s="165">
        <f ca="1"/>
        <v>3.9218430156084838E-2</v>
      </c>
      <c r="V305" s="140">
        <f ca="1"/>
        <v>7.1977434941885798E-2</v>
      </c>
      <c r="W305" s="139">
        <f ca="1"/>
        <v>0</v>
      </c>
      <c r="X305" s="165">
        <f ca="1"/>
        <v>4.6649612398852458E-4</v>
      </c>
      <c r="Y305" s="165">
        <f ca="1"/>
        <v>1.2295367987036343E-3</v>
      </c>
      <c r="Z305" s="165">
        <f ca="1"/>
        <v>4.1593693119061914E-3</v>
      </c>
      <c r="AA305" s="165">
        <f ca="1"/>
        <v>7.7624734921042382E-3</v>
      </c>
      <c r="AB305" s="165">
        <f ca="1"/>
        <v>0</v>
      </c>
      <c r="AC305" s="165">
        <f ca="1"/>
        <v>2.1933042134880121E-2</v>
      </c>
      <c r="AD305" s="165">
        <f ca="1"/>
        <v>4.1124813082648703E-2</v>
      </c>
      <c r="AE305" s="140">
        <f ca="1"/>
        <v>7.5440699059770355E-2</v>
      </c>
      <c r="AH305" s="137">
        <v>4.0000000000000002E-4</v>
      </c>
      <c r="AI305" s="137">
        <v>1E-3</v>
      </c>
      <c r="AJ305" s="137">
        <v>3.8E-3</v>
      </c>
      <c r="AK305" s="137">
        <v>7.1999999999999998E-3</v>
      </c>
      <c r="AM305" s="137">
        <v>2.0899999999999998E-2</v>
      </c>
      <c r="AN305" s="137">
        <v>3.9100000000000003E-2</v>
      </c>
      <c r="AO305" s="137">
        <v>7.1900000000000006E-2</v>
      </c>
      <c r="AQ305" s="137">
        <v>4.0000000000000002E-4</v>
      </c>
      <c r="AR305" s="137">
        <v>1.1999999999999999E-3</v>
      </c>
      <c r="AS305" s="137">
        <v>4.1000000000000003E-3</v>
      </c>
      <c r="AT305" s="137">
        <v>7.7000000000000002E-3</v>
      </c>
      <c r="AV305" s="137">
        <v>2.1899999999999999E-2</v>
      </c>
      <c r="AW305" s="137">
        <v>4.1000000000000002E-2</v>
      </c>
      <c r="AX305" s="137">
        <v>7.5300000000000006E-2</v>
      </c>
    </row>
    <row r="306" spans="1:50" s="79" customFormat="1" ht="10.199999999999999" x14ac:dyDescent="0.2">
      <c r="A306" s="97">
        <f t="shared" ca="1" si="6"/>
        <v>295</v>
      </c>
      <c r="B306" s="68" t="s">
        <v>374</v>
      </c>
      <c r="C306" s="98">
        <v>0.4</v>
      </c>
      <c r="D306" s="69" t="s">
        <v>67</v>
      </c>
      <c r="E306" s="138" t="s">
        <v>87</v>
      </c>
      <c r="F306" s="158" t="s">
        <v>87</v>
      </c>
      <c r="G306" s="158">
        <v>3.8699999999999997E-4</v>
      </c>
      <c r="H306" s="158" t="s">
        <v>87</v>
      </c>
      <c r="I306" s="158">
        <v>1.2999999999999999E-3</v>
      </c>
      <c r="J306" s="158" t="s">
        <v>87</v>
      </c>
      <c r="K306" s="158">
        <v>2E-3</v>
      </c>
      <c r="L306" s="158">
        <v>3.0999999999999999E-3</v>
      </c>
      <c r="M306" s="158">
        <v>3.5999999999999999E-3</v>
      </c>
      <c r="N306" s="139" cm="1">
        <f t="array" aca="1" ref="N306:AE306" ca="1">IF(OR(B306="",NOT($J$2)),"",GetStripDefaultProbability(A306,B306,Parameter_Date,CDSRollDate,E306:M306,SpreadCurveMaturities,D306,C306,$J$4,$J$6))</f>
        <v>0</v>
      </c>
      <c r="O306" s="165">
        <f ca="1"/>
        <v>0</v>
      </c>
      <c r="P306" s="165">
        <f ca="1"/>
        <v>6.8286861697164358E-4</v>
      </c>
      <c r="Q306" s="165">
        <f ca="1"/>
        <v>0</v>
      </c>
      <c r="R306" s="165">
        <f ca="1"/>
        <v>6.7519119531624927E-3</v>
      </c>
      <c r="S306" s="165">
        <f ca="1"/>
        <v>0</v>
      </c>
      <c r="T306" s="165">
        <f ca="1"/>
        <v>1.7412045382545482E-2</v>
      </c>
      <c r="U306" s="165">
        <f ca="1"/>
        <v>3.8563805230190984E-2</v>
      </c>
      <c r="V306" s="140">
        <f ca="1"/>
        <v>6.3373682775813234E-2</v>
      </c>
      <c r="W306" s="139">
        <f ca="1"/>
        <v>0</v>
      </c>
      <c r="X306" s="165">
        <f ca="1"/>
        <v>0</v>
      </c>
      <c r="Y306" s="165">
        <f ca="1"/>
        <v>8.4940759358020923E-4</v>
      </c>
      <c r="Z306" s="165">
        <f ca="1"/>
        <v>0</v>
      </c>
      <c r="AA306" s="165">
        <f ca="1"/>
        <v>7.2484118618753035E-3</v>
      </c>
      <c r="AB306" s="165">
        <f ca="1"/>
        <v>0</v>
      </c>
      <c r="AC306" s="165">
        <f ca="1"/>
        <v>1.8230527596426738E-2</v>
      </c>
      <c r="AD306" s="165">
        <f ca="1"/>
        <v>4.0436638970807071E-2</v>
      </c>
      <c r="AE306" s="140">
        <f ca="1"/>
        <v>6.6429865881413197E-2</v>
      </c>
      <c r="AI306" s="137">
        <v>6.9999999999999999E-4</v>
      </c>
      <c r="AK306" s="137">
        <v>6.7000000000000002E-3</v>
      </c>
      <c r="AM306" s="137">
        <v>1.7399999999999999E-2</v>
      </c>
      <c r="AN306" s="137">
        <v>3.85E-2</v>
      </c>
      <c r="AO306" s="137">
        <v>6.3299999999999995E-2</v>
      </c>
      <c r="AR306" s="137">
        <v>8.0000000000000004E-4</v>
      </c>
      <c r="AT306" s="137">
        <v>7.1999999999999998E-3</v>
      </c>
      <c r="AV306" s="137">
        <v>1.8200000000000001E-2</v>
      </c>
      <c r="AW306" s="137">
        <v>4.0300000000000002E-2</v>
      </c>
      <c r="AX306" s="137">
        <v>6.6299999999999998E-2</v>
      </c>
    </row>
    <row r="307" spans="1:50" s="79" customFormat="1" ht="10.199999999999999" x14ac:dyDescent="0.2">
      <c r="A307" s="97">
        <f t="shared" ca="1" si="6"/>
        <v>296</v>
      </c>
      <c r="B307" s="68" t="s">
        <v>186</v>
      </c>
      <c r="C307" s="98">
        <v>0.4</v>
      </c>
      <c r="D307" s="69" t="s">
        <v>66</v>
      </c>
      <c r="E307" s="138" t="s">
        <v>87</v>
      </c>
      <c r="F307" s="158">
        <v>4.0000000000000002E-4</v>
      </c>
      <c r="G307" s="158">
        <v>8.9999999999999998E-4</v>
      </c>
      <c r="H307" s="158">
        <v>1.4E-3</v>
      </c>
      <c r="I307" s="158">
        <v>1.6999999999999999E-3</v>
      </c>
      <c r="J307" s="158" t="s">
        <v>87</v>
      </c>
      <c r="K307" s="158">
        <v>2.5000000000000001E-3</v>
      </c>
      <c r="L307" s="158">
        <v>2.8999999999999998E-3</v>
      </c>
      <c r="M307" s="158">
        <v>3.3999999999999998E-3</v>
      </c>
      <c r="N307" s="139" cm="1">
        <f t="array" aca="1" ref="N307:AE307" ca="1">IF(OR(B307="",NOT($J$2)),"",GetStripDefaultProbability(A307,B307,Parameter_Date,CDSRollDate,E307:M307,SpreadCurveMaturities,D307,C307,$J$4,$J$6))</f>
        <v>0</v>
      </c>
      <c r="O307" s="165">
        <f ca="1"/>
        <v>3.7321455535799242E-4</v>
      </c>
      <c r="P307" s="165">
        <f ca="1"/>
        <v>1.5988606883324818E-3</v>
      </c>
      <c r="Q307" s="165">
        <f ca="1"/>
        <v>4.863427124660813E-3</v>
      </c>
      <c r="R307" s="165">
        <f ca="1"/>
        <v>8.7988721979794793E-3</v>
      </c>
      <c r="S307" s="165">
        <f ca="1"/>
        <v>0</v>
      </c>
      <c r="T307" s="165">
        <f ca="1"/>
        <v>2.1631884061536488E-2</v>
      </c>
      <c r="U307" s="165">
        <f ca="1"/>
        <v>3.5028077174685812E-2</v>
      </c>
      <c r="V307" s="140">
        <f ca="1"/>
        <v>5.8720021316694515E-2</v>
      </c>
      <c r="W307" s="139">
        <f ca="1"/>
        <v>0</v>
      </c>
      <c r="X307" s="165">
        <f ca="1"/>
        <v>4.6649612398852458E-4</v>
      </c>
      <c r="Y307" s="165">
        <f ca="1"/>
        <v>1.7652470123107333E-3</v>
      </c>
      <c r="Z307" s="165">
        <f ca="1"/>
        <v>5.1950840363904627E-3</v>
      </c>
      <c r="AA307" s="165">
        <f ca="1"/>
        <v>9.2943488823814535E-3</v>
      </c>
      <c r="AB307" s="165">
        <f ca="1"/>
        <v>0</v>
      </c>
      <c r="AC307" s="165">
        <f ca="1"/>
        <v>2.2688545903866597E-2</v>
      </c>
      <c r="AD307" s="165">
        <f ca="1"/>
        <v>3.6738454150802236E-2</v>
      </c>
      <c r="AE307" s="140">
        <f ca="1"/>
        <v>6.1562239847408828E-2</v>
      </c>
      <c r="AH307" s="137">
        <v>4.0000000000000002E-4</v>
      </c>
      <c r="AI307" s="137">
        <v>1.6000000000000001E-3</v>
      </c>
      <c r="AJ307" s="137">
        <v>4.7999999999999996E-3</v>
      </c>
      <c r="AK307" s="137">
        <v>8.8000000000000005E-3</v>
      </c>
      <c r="AM307" s="137">
        <v>2.1600000000000001E-2</v>
      </c>
      <c r="AN307" s="137">
        <v>3.5000000000000003E-2</v>
      </c>
      <c r="AO307" s="137">
        <v>5.8599999999999999E-2</v>
      </c>
      <c r="AQ307" s="137">
        <v>4.0000000000000002E-4</v>
      </c>
      <c r="AR307" s="137">
        <v>1.6999999999999999E-3</v>
      </c>
      <c r="AS307" s="137">
        <v>5.1999999999999998E-3</v>
      </c>
      <c r="AT307" s="137">
        <v>9.2999999999999992E-3</v>
      </c>
      <c r="AV307" s="137">
        <v>2.2599999999999999E-2</v>
      </c>
      <c r="AW307" s="137">
        <v>3.6700000000000003E-2</v>
      </c>
      <c r="AX307" s="137">
        <v>6.1499999999999999E-2</v>
      </c>
    </row>
    <row r="308" spans="1:50" s="79" customFormat="1" ht="10.199999999999999" x14ac:dyDescent="0.2">
      <c r="A308" s="97">
        <f t="shared" ca="1" si="6"/>
        <v>297</v>
      </c>
      <c r="B308" s="68" t="s">
        <v>113</v>
      </c>
      <c r="C308" s="98">
        <v>0.4</v>
      </c>
      <c r="D308" s="69" t="s">
        <v>66</v>
      </c>
      <c r="E308" s="138" t="s">
        <v>87</v>
      </c>
      <c r="F308" s="158">
        <v>5.0000000000000001E-4</v>
      </c>
      <c r="G308" s="158">
        <v>6.9999999999999999E-4</v>
      </c>
      <c r="H308" s="158">
        <v>1.1000000000000001E-3</v>
      </c>
      <c r="I308" s="158">
        <v>1.6000000000000001E-3</v>
      </c>
      <c r="J308" s="158" t="s">
        <v>87</v>
      </c>
      <c r="K308" s="158">
        <v>2.3E-3</v>
      </c>
      <c r="L308" s="158">
        <v>2.8999999999999998E-3</v>
      </c>
      <c r="M308" s="158">
        <v>3.7000000000000002E-3</v>
      </c>
      <c r="N308" s="139" cm="1">
        <f t="array" aca="1" ref="N308:AE308" ca="1">IF(OR(B308="",NOT($J$2)),"",GetStripDefaultProbability(A308,B308,Parameter_Date,CDSRollDate,E308:M308,SpreadCurveMaturities,D308,C308,$J$4,$J$6))</f>
        <v>0</v>
      </c>
      <c r="O308" s="165">
        <f ca="1"/>
        <v>4.6649647376628689E-4</v>
      </c>
      <c r="P308" s="165">
        <f ca="1"/>
        <v>1.2393840374057552E-3</v>
      </c>
      <c r="Q308" s="165">
        <f ca="1"/>
        <v>3.8189018326942881E-3</v>
      </c>
      <c r="R308" s="165">
        <f ca="1"/>
        <v>8.3247764833102034E-3</v>
      </c>
      <c r="S308" s="165">
        <f ca="1"/>
        <v>0</v>
      </c>
      <c r="T308" s="165">
        <f ca="1"/>
        <v>1.9936386812058338E-2</v>
      </c>
      <c r="U308" s="165">
        <f ca="1"/>
        <v>3.5311455978638384E-2</v>
      </c>
      <c r="V308" s="140">
        <f ca="1"/>
        <v>6.480418710227942E-2</v>
      </c>
      <c r="W308" s="139">
        <f ca="1"/>
        <v>0</v>
      </c>
      <c r="X308" s="165">
        <f ca="1"/>
        <v>5.5976917815403482E-4</v>
      </c>
      <c r="Y308" s="165">
        <f ca="1"/>
        <v>1.4058302691598579E-3</v>
      </c>
      <c r="Z308" s="165">
        <f ca="1"/>
        <v>4.1509068615025457E-3</v>
      </c>
      <c r="AA308" s="165">
        <f ca="1"/>
        <v>8.8204901563130322E-3</v>
      </c>
      <c r="AB308" s="165">
        <f ca="1"/>
        <v>0</v>
      </c>
      <c r="AC308" s="165">
        <f ca="1"/>
        <v>2.0905155357642702E-2</v>
      </c>
      <c r="AD308" s="165">
        <f ca="1"/>
        <v>3.7031656780413869E-2</v>
      </c>
      <c r="AE308" s="140">
        <f ca="1"/>
        <v>6.7932619576215991E-2</v>
      </c>
      <c r="AH308" s="137">
        <v>5.0000000000000001E-4</v>
      </c>
      <c r="AI308" s="137">
        <v>1.1999999999999999E-3</v>
      </c>
      <c r="AJ308" s="137">
        <v>3.8E-3</v>
      </c>
      <c r="AK308" s="137">
        <v>8.3000000000000001E-3</v>
      </c>
      <c r="AM308" s="137">
        <v>1.9900000000000001E-2</v>
      </c>
      <c r="AN308" s="137">
        <v>3.5200000000000002E-2</v>
      </c>
      <c r="AO308" s="137">
        <v>6.4699999999999994E-2</v>
      </c>
      <c r="AQ308" s="137">
        <v>5.0000000000000001E-4</v>
      </c>
      <c r="AR308" s="137">
        <v>1.4E-3</v>
      </c>
      <c r="AS308" s="137">
        <v>4.1000000000000003E-3</v>
      </c>
      <c r="AT308" s="137">
        <v>8.8000000000000005E-3</v>
      </c>
      <c r="AV308" s="137">
        <v>2.0799999999999999E-2</v>
      </c>
      <c r="AW308" s="137">
        <v>3.6999999999999998E-2</v>
      </c>
      <c r="AX308" s="137">
        <v>6.7799999999999999E-2</v>
      </c>
    </row>
    <row r="309" spans="1:50" s="79" customFormat="1" ht="10.199999999999999" x14ac:dyDescent="0.2">
      <c r="A309" s="97">
        <f t="shared" ca="1" si="6"/>
        <v>298</v>
      </c>
      <c r="B309" s="68" t="s">
        <v>375</v>
      </c>
      <c r="C309" s="98">
        <v>0.4</v>
      </c>
      <c r="D309" s="69" t="s">
        <v>66</v>
      </c>
      <c r="E309" s="138" t="s">
        <v>87</v>
      </c>
      <c r="F309" s="158">
        <v>4.0000000000000002E-4</v>
      </c>
      <c r="G309" s="158">
        <v>5.0000000000000001E-4</v>
      </c>
      <c r="H309" s="158">
        <v>8.9999999999999998E-4</v>
      </c>
      <c r="I309" s="158">
        <v>1.4E-3</v>
      </c>
      <c r="J309" s="158" t="s">
        <v>87</v>
      </c>
      <c r="K309" s="158">
        <v>2.0999999999999999E-3</v>
      </c>
      <c r="L309" s="158">
        <v>2.8E-3</v>
      </c>
      <c r="M309" s="158">
        <v>3.3999999999999998E-3</v>
      </c>
      <c r="N309" s="139" cm="1">
        <f t="array" aca="1" ref="N309:AE309" ca="1">IF(OR(B309="",NOT($J$2)),"",GetStripDefaultProbability(A309,B309,Parameter_Date,CDSRollDate,E309:M309,SpreadCurveMaturities,D309,C309,$J$4,$J$6))</f>
        <v>0</v>
      </c>
      <c r="O309" s="165">
        <f ca="1"/>
        <v>3.7321455535799242E-4</v>
      </c>
      <c r="P309" s="165">
        <f ca="1"/>
        <v>8.8443169589835779E-4</v>
      </c>
      <c r="Q309" s="165">
        <f ca="1"/>
        <v>3.1300474157849312E-3</v>
      </c>
      <c r="R309" s="165">
        <f ca="1"/>
        <v>7.3048644324699152E-3</v>
      </c>
      <c r="S309" s="165">
        <f ca="1"/>
        <v>0</v>
      </c>
      <c r="T309" s="165">
        <f ca="1"/>
        <v>1.8264951822260733E-2</v>
      </c>
      <c r="U309" s="165">
        <f ca="1"/>
        <v>3.4316169528066376E-2</v>
      </c>
      <c r="V309" s="140">
        <f ca="1"/>
        <v>5.9491627770849931E-2</v>
      </c>
      <c r="W309" s="139">
        <f ca="1"/>
        <v>0</v>
      </c>
      <c r="X309" s="165">
        <f ca="1"/>
        <v>4.6649612398852458E-4</v>
      </c>
      <c r="Y309" s="165">
        <f ca="1"/>
        <v>1.0509370814404395E-3</v>
      </c>
      <c r="Z309" s="165">
        <f ca="1"/>
        <v>3.462282024450869E-3</v>
      </c>
      <c r="AA309" s="165">
        <f ca="1"/>
        <v>7.8010879340218997E-3</v>
      </c>
      <c r="AB309" s="165">
        <f ca="1"/>
        <v>0</v>
      </c>
      <c r="AC309" s="165">
        <f ca="1"/>
        <v>1.9145591169504761E-2</v>
      </c>
      <c r="AD309" s="165">
        <f ca="1"/>
        <v>3.5982566304058938E-2</v>
      </c>
      <c r="AE309" s="140">
        <f ca="1"/>
        <v>6.2363271011643406E-2</v>
      </c>
      <c r="AH309" s="137">
        <v>4.0000000000000002E-4</v>
      </c>
      <c r="AI309" s="137">
        <v>8.9999999999999998E-4</v>
      </c>
      <c r="AJ309" s="137">
        <v>3.0999999999999999E-3</v>
      </c>
      <c r="AK309" s="137">
        <v>7.3000000000000001E-3</v>
      </c>
      <c r="AM309" s="137">
        <v>1.8200000000000001E-2</v>
      </c>
      <c r="AN309" s="137">
        <v>3.4200000000000001E-2</v>
      </c>
      <c r="AO309" s="137">
        <v>5.9400000000000001E-2</v>
      </c>
      <c r="AQ309" s="137">
        <v>4.0000000000000002E-4</v>
      </c>
      <c r="AR309" s="137">
        <v>1E-3</v>
      </c>
      <c r="AS309" s="137">
        <v>3.3999999999999998E-3</v>
      </c>
      <c r="AT309" s="137">
        <v>7.7999999999999996E-3</v>
      </c>
      <c r="AV309" s="137">
        <v>1.9099999999999999E-2</v>
      </c>
      <c r="AW309" s="137">
        <v>3.5900000000000001E-2</v>
      </c>
      <c r="AX309" s="137">
        <v>6.2300000000000001E-2</v>
      </c>
    </row>
    <row r="310" spans="1:50" s="79" customFormat="1" ht="10.199999999999999" x14ac:dyDescent="0.2">
      <c r="A310" s="97">
        <f t="shared" ca="1" si="6"/>
        <v>299</v>
      </c>
      <c r="B310" s="68" t="s">
        <v>115</v>
      </c>
      <c r="C310" s="98">
        <v>0.4</v>
      </c>
      <c r="D310" s="69" t="s">
        <v>66</v>
      </c>
      <c r="E310" s="138" t="s">
        <v>87</v>
      </c>
      <c r="F310" s="158">
        <v>5.0000000000000001E-4</v>
      </c>
      <c r="G310" s="158">
        <v>5.9999999999999995E-4</v>
      </c>
      <c r="H310" s="158">
        <v>1.1999999999999999E-3</v>
      </c>
      <c r="I310" s="158">
        <v>1.6000000000000001E-3</v>
      </c>
      <c r="J310" s="158" t="s">
        <v>87</v>
      </c>
      <c r="K310" s="158">
        <v>2.3E-3</v>
      </c>
      <c r="L310" s="158">
        <v>2.7000000000000001E-3</v>
      </c>
      <c r="M310" s="158">
        <v>3.3E-3</v>
      </c>
      <c r="N310" s="139" cm="1">
        <f t="array" aca="1" ref="N310:AE310" ca="1">IF(OR(B310="",NOT($J$2)),"",GetStripDefaultProbability(A310,B310,Parameter_Date,CDSRollDate,E310:M310,SpreadCurveMaturities,D310,C310,$J$4,$J$6))</f>
        <v>0</v>
      </c>
      <c r="O310" s="165">
        <f ca="1"/>
        <v>4.6649647376628689E-4</v>
      </c>
      <c r="P310" s="165">
        <f ca="1"/>
        <v>1.0607776163944482E-3</v>
      </c>
      <c r="Q310" s="165">
        <f ca="1"/>
        <v>4.1766586955125362E-3</v>
      </c>
      <c r="R310" s="165">
        <f ca="1"/>
        <v>8.3146840993060245E-3</v>
      </c>
      <c r="S310" s="165">
        <f ca="1"/>
        <v>0</v>
      </c>
      <c r="T310" s="165">
        <f ca="1"/>
        <v>1.9926108111941176E-2</v>
      </c>
      <c r="U310" s="165">
        <f ca="1"/>
        <v>3.2690870052863308E-2</v>
      </c>
      <c r="V310" s="140">
        <f ca="1"/>
        <v>5.7411244648998383E-2</v>
      </c>
      <c r="W310" s="139">
        <f ca="1"/>
        <v>0</v>
      </c>
      <c r="X310" s="165">
        <f ca="1"/>
        <v>5.5976917815403482E-4</v>
      </c>
      <c r="Y310" s="165">
        <f ca="1"/>
        <v>1.2272536134083634E-3</v>
      </c>
      <c r="Z310" s="165">
        <f ca="1"/>
        <v>4.5085444919210627E-3</v>
      </c>
      <c r="AA310" s="165">
        <f ca="1"/>
        <v>8.8104028172516502E-3</v>
      </c>
      <c r="AB310" s="165">
        <f ca="1"/>
        <v>0</v>
      </c>
      <c r="AC310" s="165">
        <f ca="1"/>
        <v>2.0894840011720817E-2</v>
      </c>
      <c r="AD310" s="165">
        <f ca="1"/>
        <v>3.4283643117842266E-2</v>
      </c>
      <c r="AE310" s="140">
        <f ca="1"/>
        <v>6.0188485317376084E-2</v>
      </c>
      <c r="AH310" s="137">
        <v>5.0000000000000001E-4</v>
      </c>
      <c r="AI310" s="137">
        <v>1E-3</v>
      </c>
      <c r="AJ310" s="137">
        <v>4.1000000000000003E-3</v>
      </c>
      <c r="AK310" s="137">
        <v>8.3000000000000001E-3</v>
      </c>
      <c r="AM310" s="137">
        <v>1.9900000000000001E-2</v>
      </c>
      <c r="AN310" s="137">
        <v>3.2599999999999997E-2</v>
      </c>
      <c r="AO310" s="137">
        <v>5.7299999999999997E-2</v>
      </c>
      <c r="AQ310" s="137">
        <v>5.0000000000000001E-4</v>
      </c>
      <c r="AR310" s="137">
        <v>1.1999999999999999E-3</v>
      </c>
      <c r="AS310" s="137">
        <v>4.4999999999999997E-3</v>
      </c>
      <c r="AT310" s="137">
        <v>8.8000000000000005E-3</v>
      </c>
      <c r="AV310" s="137">
        <v>2.0799999999999999E-2</v>
      </c>
      <c r="AW310" s="137">
        <v>3.4200000000000001E-2</v>
      </c>
      <c r="AX310" s="137">
        <v>6.0100000000000001E-2</v>
      </c>
    </row>
    <row r="311" spans="1:50" s="79" customFormat="1" ht="10.199999999999999" x14ac:dyDescent="0.2">
      <c r="A311" s="97">
        <f t="shared" ca="1" si="6"/>
        <v>300</v>
      </c>
      <c r="B311" s="68" t="s">
        <v>182</v>
      </c>
      <c r="C311" s="98">
        <v>0.4</v>
      </c>
      <c r="D311" s="69" t="s">
        <v>66</v>
      </c>
      <c r="E311" s="138" t="s">
        <v>87</v>
      </c>
      <c r="F311" s="158">
        <v>2.9999999999999997E-4</v>
      </c>
      <c r="G311" s="158">
        <v>5.0000000000000001E-4</v>
      </c>
      <c r="H311" s="158">
        <v>8.9999999999999998E-4</v>
      </c>
      <c r="I311" s="158">
        <v>1.2999999999999999E-3</v>
      </c>
      <c r="J311" s="158" t="s">
        <v>87</v>
      </c>
      <c r="K311" s="158">
        <v>2.0999999999999999E-3</v>
      </c>
      <c r="L311" s="158">
        <v>2.7000000000000001E-3</v>
      </c>
      <c r="M311" s="158">
        <v>3.3999999999999998E-3</v>
      </c>
      <c r="N311" s="139" cm="1">
        <f t="array" aca="1" ref="N311:AE311" ca="1">IF(OR(B311="",NOT($J$2)),"",GetStripDefaultProbability(A311,B311,Parameter_Date,CDSRollDate,E311:M311,SpreadCurveMaturities,D311,C311,$J$4,$J$6))</f>
        <v>0</v>
      </c>
      <c r="O311" s="165">
        <f ca="1"/>
        <v>2.799239499720052E-4</v>
      </c>
      <c r="P311" s="165">
        <f ca="1"/>
        <v>8.8670719766348327E-4</v>
      </c>
      <c r="Q311" s="165">
        <f ca="1"/>
        <v>3.1323536816416642E-3</v>
      </c>
      <c r="R311" s="165">
        <f ca="1"/>
        <v>6.7733546032791025E-3</v>
      </c>
      <c r="S311" s="165">
        <f ca="1"/>
        <v>0</v>
      </c>
      <c r="T311" s="165">
        <f ca="1"/>
        <v>1.8305634510526358E-2</v>
      </c>
      <c r="U311" s="165">
        <f ca="1"/>
        <v>3.3050941598062988E-2</v>
      </c>
      <c r="V311" s="140">
        <f ca="1"/>
        <v>5.9710758819367604E-2</v>
      </c>
      <c r="W311" s="139">
        <f ca="1"/>
        <v>0</v>
      </c>
      <c r="X311" s="165">
        <f ca="1"/>
        <v>3.7321434723358582E-4</v>
      </c>
      <c r="Y311" s="165">
        <f ca="1"/>
        <v>1.0532122039936809E-3</v>
      </c>
      <c r="Z311" s="165">
        <f ca="1"/>
        <v>3.4645875217036437E-3</v>
      </c>
      <c r="AA311" s="165">
        <f ca="1"/>
        <v>7.2698437933172988E-3</v>
      </c>
      <c r="AB311" s="165">
        <f ca="1"/>
        <v>0</v>
      </c>
      <c r="AC311" s="165">
        <f ca="1"/>
        <v>1.918629724463361E-2</v>
      </c>
      <c r="AD311" s="165">
        <f ca="1"/>
        <v>3.4653733595149561E-2</v>
      </c>
      <c r="AE311" s="140">
        <f ca="1"/>
        <v>6.2591053950538655E-2</v>
      </c>
      <c r="AH311" s="137">
        <v>2.9999999999999997E-4</v>
      </c>
      <c r="AI311" s="137">
        <v>8.9999999999999998E-4</v>
      </c>
      <c r="AJ311" s="137">
        <v>3.0999999999999999E-3</v>
      </c>
      <c r="AK311" s="137">
        <v>6.7000000000000002E-3</v>
      </c>
      <c r="AM311" s="137">
        <v>1.83E-2</v>
      </c>
      <c r="AN311" s="137">
        <v>3.3000000000000002E-2</v>
      </c>
      <c r="AO311" s="137">
        <v>5.96E-2</v>
      </c>
      <c r="AQ311" s="137">
        <v>4.0000000000000002E-4</v>
      </c>
      <c r="AR311" s="137">
        <v>1E-3</v>
      </c>
      <c r="AS311" s="137">
        <v>3.3999999999999998E-3</v>
      </c>
      <c r="AT311" s="137">
        <v>7.1999999999999998E-3</v>
      </c>
      <c r="AV311" s="137">
        <v>1.9099999999999999E-2</v>
      </c>
      <c r="AW311" s="137">
        <v>3.4599999999999999E-2</v>
      </c>
      <c r="AX311" s="137">
        <v>6.25E-2</v>
      </c>
    </row>
    <row r="312" spans="1:50" s="79" customFormat="1" ht="10.199999999999999" x14ac:dyDescent="0.2">
      <c r="A312" s="97">
        <f t="shared" ca="1" si="6"/>
        <v>301</v>
      </c>
      <c r="B312" s="68" t="s">
        <v>376</v>
      </c>
      <c r="C312" s="98">
        <v>0.4</v>
      </c>
      <c r="D312" s="69" t="s">
        <v>67</v>
      </c>
      <c r="E312" s="138" t="s">
        <v>87</v>
      </c>
      <c r="F312" s="158">
        <v>9.5600000000000008E-3</v>
      </c>
      <c r="G312" s="158">
        <v>9.5600000000000008E-3</v>
      </c>
      <c r="H312" s="158">
        <v>9.2700000000000005E-3</v>
      </c>
      <c r="I312" s="158">
        <v>9.0799999999999995E-3</v>
      </c>
      <c r="J312" s="158" t="s">
        <v>87</v>
      </c>
      <c r="K312" s="158">
        <v>8.6E-3</v>
      </c>
      <c r="L312" s="158">
        <v>8.6E-3</v>
      </c>
      <c r="M312" s="158">
        <v>8.6E-3</v>
      </c>
      <c r="N312" s="139" cm="1">
        <f t="array" aca="1" ref="N312:AE312" ca="1">IF(OR(B312="",NOT($J$2)),"",GetStripDefaultProbability(A312,B312,Parameter_Date,CDSRollDate,E312:M312,SpreadCurveMaturities,D312,C312,$J$4,$J$6))</f>
        <v>0</v>
      </c>
      <c r="O312" s="165">
        <f ca="1"/>
        <v>8.8820805426405025E-3</v>
      </c>
      <c r="P312" s="165">
        <f ca="1"/>
        <v>1.6732940970442423E-2</v>
      </c>
      <c r="Q312" s="165">
        <f ca="1"/>
        <v>3.1383971371333308E-2</v>
      </c>
      <c r="R312" s="165">
        <f ca="1"/>
        <v>4.5342867488924465E-2</v>
      </c>
      <c r="S312" s="165">
        <f ca="1"/>
        <v>0</v>
      </c>
      <c r="T312" s="165">
        <f ca="1"/>
        <v>6.9869776606237277E-2</v>
      </c>
      <c r="U312" s="165">
        <f ca="1"/>
        <v>9.6324547402855454E-2</v>
      </c>
      <c r="V312" s="140">
        <f ca="1"/>
        <v>0.13464338231072936</v>
      </c>
      <c r="W312" s="139">
        <f ca="1"/>
        <v>0</v>
      </c>
      <c r="X312" s="165">
        <f ca="1"/>
        <v>9.3238799254776739E-3</v>
      </c>
      <c r="Y312" s="165">
        <f ca="1"/>
        <v>1.7562041543563223E-2</v>
      </c>
      <c r="Z312" s="165">
        <f ca="1"/>
        <v>3.2925517348688982E-2</v>
      </c>
      <c r="AA312" s="165">
        <f ca="1"/>
        <v>4.7552998065400143E-2</v>
      </c>
      <c r="AB312" s="165">
        <f ca="1"/>
        <v>0</v>
      </c>
      <c r="AC312" s="165">
        <f ca="1"/>
        <v>7.3219142255891434E-2</v>
      </c>
      <c r="AD312" s="165">
        <f ca="1"/>
        <v>0.100875895273419</v>
      </c>
      <c r="AE312" s="140">
        <f ca="1"/>
        <v>0.1408750364266409</v>
      </c>
      <c r="AH312" s="137">
        <v>8.6999999999999994E-3</v>
      </c>
      <c r="AI312" s="137">
        <v>1.6500000000000001E-2</v>
      </c>
      <c r="AJ312" s="137">
        <v>3.1199999999999999E-2</v>
      </c>
      <c r="AK312" s="137">
        <v>4.5100000000000001E-2</v>
      </c>
      <c r="AM312" s="137">
        <v>6.9699999999999998E-2</v>
      </c>
      <c r="AN312" s="137">
        <v>9.6100000000000005E-2</v>
      </c>
      <c r="AO312" s="137">
        <v>0.13450000000000001</v>
      </c>
      <c r="AQ312" s="137">
        <v>9.1000000000000004E-3</v>
      </c>
      <c r="AR312" s="137">
        <v>1.7299999999999999E-2</v>
      </c>
      <c r="AS312" s="137">
        <v>3.27E-2</v>
      </c>
      <c r="AT312" s="137">
        <v>4.7300000000000002E-2</v>
      </c>
      <c r="AV312" s="137">
        <v>7.2999999999999995E-2</v>
      </c>
      <c r="AW312" s="137">
        <v>0.1007</v>
      </c>
      <c r="AX312" s="137">
        <v>0.14069999999999999</v>
      </c>
    </row>
    <row r="313" spans="1:50" s="79" customFormat="1" ht="10.199999999999999" x14ac:dyDescent="0.2">
      <c r="A313" s="97">
        <f t="shared" ca="1" si="6"/>
        <v>302</v>
      </c>
      <c r="B313" s="68" t="s">
        <v>377</v>
      </c>
      <c r="C313" s="98">
        <v>0.2</v>
      </c>
      <c r="D313" s="69" t="s">
        <v>66</v>
      </c>
      <c r="E313" s="138" t="s">
        <v>87</v>
      </c>
      <c r="F313" s="158">
        <v>2.2499999999999998E-3</v>
      </c>
      <c r="G313" s="158">
        <v>3.0000000000000001E-3</v>
      </c>
      <c r="H313" s="158">
        <v>4.4999999999999997E-3</v>
      </c>
      <c r="I313" s="158">
        <v>5.5900000000000004E-3</v>
      </c>
      <c r="J313" s="158" t="s">
        <v>87</v>
      </c>
      <c r="K313" s="158">
        <v>7.4999999999999997E-3</v>
      </c>
      <c r="L313" s="158">
        <v>8.2000000000000007E-3</v>
      </c>
      <c r="M313" s="158">
        <v>8.8999999999999999E-3</v>
      </c>
      <c r="N313" s="139" cm="1">
        <f t="array" aca="1" ref="N313:AE313" ca="1">IF(OR(B313="",NOT($J$2)),"",GetStripDefaultProbability(A313,B313,Parameter_Date,CDSRollDate,E313:M313,SpreadCurveMaturities,D313,C313,$J$4,$J$6))</f>
        <v>0</v>
      </c>
      <c r="O313" s="165">
        <f ca="1"/>
        <v>1.5735556069065293E-3</v>
      </c>
      <c r="P313" s="165">
        <f ca="1"/>
        <v>3.977172744828894E-3</v>
      </c>
      <c r="Q313" s="165">
        <f ca="1"/>
        <v>1.1670479941839451E-2</v>
      </c>
      <c r="R313" s="165">
        <f ca="1"/>
        <v>2.1583790336026643E-2</v>
      </c>
      <c r="S313" s="165">
        <f ca="1"/>
        <v>0</v>
      </c>
      <c r="T313" s="165">
        <f ca="1"/>
        <v>4.7956522407713309E-2</v>
      </c>
      <c r="U313" s="165">
        <f ca="1"/>
        <v>7.2471423932604639E-2</v>
      </c>
      <c r="V313" s="140">
        <f ca="1"/>
        <v>0.11062730661232756</v>
      </c>
      <c r="W313" s="139">
        <f ca="1"/>
        <v>0</v>
      </c>
      <c r="X313" s="165">
        <f ca="1"/>
        <v>1.6521630236442375E-3</v>
      </c>
      <c r="Y313" s="165">
        <f ca="1"/>
        <v>4.1639095178155339E-3</v>
      </c>
      <c r="Z313" s="165">
        <f ca="1"/>
        <v>1.2251326181686339E-2</v>
      </c>
      <c r="AA313" s="165">
        <f ca="1"/>
        <v>2.265331063762499E-2</v>
      </c>
      <c r="AB313" s="165">
        <f ca="1"/>
        <v>0</v>
      </c>
      <c r="AC313" s="165">
        <f ca="1"/>
        <v>5.0300871205880338E-2</v>
      </c>
      <c r="AD313" s="165">
        <f ca="1"/>
        <v>7.5974207487818801E-2</v>
      </c>
      <c r="AE313" s="140">
        <f ca="1"/>
        <v>0.11587804617051156</v>
      </c>
      <c r="AH313" s="137">
        <v>1.5E-3</v>
      </c>
      <c r="AI313" s="137">
        <v>3.8999999999999998E-3</v>
      </c>
      <c r="AJ313" s="137">
        <v>1.1599999999999999E-2</v>
      </c>
      <c r="AK313" s="137">
        <v>2.1499999999999998E-2</v>
      </c>
      <c r="AM313" s="137">
        <v>4.7800000000000002E-2</v>
      </c>
      <c r="AN313" s="137">
        <v>7.2300000000000003E-2</v>
      </c>
      <c r="AO313" s="137">
        <v>0.1105</v>
      </c>
      <c r="AQ313" s="137">
        <v>1.6000000000000001E-3</v>
      </c>
      <c r="AR313" s="137">
        <v>4.1000000000000003E-3</v>
      </c>
      <c r="AS313" s="137">
        <v>1.2200000000000001E-2</v>
      </c>
      <c r="AT313" s="137">
        <v>2.2499999999999999E-2</v>
      </c>
      <c r="AV313" s="137">
        <v>5.0200000000000002E-2</v>
      </c>
      <c r="AW313" s="137">
        <v>7.5800000000000006E-2</v>
      </c>
      <c r="AX313" s="137">
        <v>0.1157</v>
      </c>
    </row>
    <row r="314" spans="1:50" s="79" customFormat="1" ht="10.199999999999999" x14ac:dyDescent="0.2">
      <c r="A314" s="97">
        <f t="shared" ca="1" si="6"/>
        <v>303</v>
      </c>
      <c r="B314" s="68" t="s">
        <v>378</v>
      </c>
      <c r="C314" s="98">
        <v>0.4</v>
      </c>
      <c r="D314" s="69" t="s">
        <v>67</v>
      </c>
      <c r="E314" s="138" t="s">
        <v>87</v>
      </c>
      <c r="F314" s="158" t="s">
        <v>87</v>
      </c>
      <c r="G314" s="158">
        <v>2E-3</v>
      </c>
      <c r="H314" s="158" t="s">
        <v>87</v>
      </c>
      <c r="I314" s="158">
        <v>3.5000000000000001E-3</v>
      </c>
      <c r="J314" s="158" t="s">
        <v>87</v>
      </c>
      <c r="K314" s="158">
        <v>4.4999999999999997E-3</v>
      </c>
      <c r="L314" s="158">
        <v>5.4999999999999997E-3</v>
      </c>
      <c r="M314" s="158">
        <v>6.4999999999999997E-3</v>
      </c>
      <c r="N314" s="139" cm="1">
        <f t="array" aca="1" ref="N314:AE314" ca="1">IF(OR(B314="",NOT($J$2)),"",GetStripDefaultProbability(A314,B314,Parameter_Date,CDSRollDate,E314:M314,SpreadCurveMaturities,D314,C314,$J$4,$J$6))</f>
        <v>0</v>
      </c>
      <c r="O314" s="165">
        <f ca="1"/>
        <v>0</v>
      </c>
      <c r="P314" s="165">
        <f ca="1"/>
        <v>3.5240564812459851E-3</v>
      </c>
      <c r="Q314" s="165">
        <f ca="1"/>
        <v>0</v>
      </c>
      <c r="R314" s="165">
        <f ca="1"/>
        <v>1.7970156230853851E-2</v>
      </c>
      <c r="S314" s="165">
        <f ca="1"/>
        <v>0</v>
      </c>
      <c r="T314" s="165">
        <f ca="1"/>
        <v>3.8379106981420996E-2</v>
      </c>
      <c r="U314" s="165">
        <f ca="1"/>
        <v>6.5816878178108218E-2</v>
      </c>
      <c r="V314" s="140">
        <f ca="1"/>
        <v>0.11064446998711452</v>
      </c>
      <c r="W314" s="139">
        <f ca="1"/>
        <v>0</v>
      </c>
      <c r="X314" s="165">
        <f ca="1"/>
        <v>0</v>
      </c>
      <c r="Y314" s="165">
        <f ca="1"/>
        <v>3.6901219660027129E-3</v>
      </c>
      <c r="Z314" s="165">
        <f ca="1"/>
        <v>0</v>
      </c>
      <c r="AA314" s="165">
        <f ca="1"/>
        <v>1.886039996828448E-2</v>
      </c>
      <c r="AB314" s="165">
        <f ca="1"/>
        <v>0</v>
      </c>
      <c r="AC314" s="165">
        <f ca="1"/>
        <v>4.0263239301148279E-2</v>
      </c>
      <c r="AD314" s="165">
        <f ca="1"/>
        <v>6.90118673852399E-2</v>
      </c>
      <c r="AE314" s="140">
        <f ca="1"/>
        <v>0.11592463441242062</v>
      </c>
      <c r="AI314" s="137">
        <v>3.5000000000000001E-3</v>
      </c>
      <c r="AK314" s="137">
        <v>1.7899999999999999E-2</v>
      </c>
      <c r="AM314" s="137">
        <v>3.8300000000000001E-2</v>
      </c>
      <c r="AN314" s="137">
        <v>6.5699999999999995E-2</v>
      </c>
      <c r="AO314" s="137">
        <v>0.1105</v>
      </c>
      <c r="AR314" s="137">
        <v>3.5999999999999999E-3</v>
      </c>
      <c r="AT314" s="137">
        <v>1.8800000000000001E-2</v>
      </c>
      <c r="AV314" s="137">
        <v>4.0099999999999997E-2</v>
      </c>
      <c r="AW314" s="137">
        <v>6.8900000000000003E-2</v>
      </c>
      <c r="AX314" s="137">
        <v>0.1157</v>
      </c>
    </row>
    <row r="315" spans="1:50" s="79" customFormat="1" ht="10.199999999999999" x14ac:dyDescent="0.2">
      <c r="A315" s="97">
        <f t="shared" ca="1" si="6"/>
        <v>304</v>
      </c>
      <c r="B315" s="68" t="s">
        <v>379</v>
      </c>
      <c r="C315" s="98">
        <v>0.2</v>
      </c>
      <c r="D315" s="69" t="s">
        <v>67</v>
      </c>
      <c r="E315" s="138">
        <v>1.1999999999999999E-3</v>
      </c>
      <c r="F315" s="158">
        <v>1.1999999999999999E-3</v>
      </c>
      <c r="G315" s="158">
        <v>1.6000000000000001E-3</v>
      </c>
      <c r="H315" s="158">
        <v>2E-3</v>
      </c>
      <c r="I315" s="158">
        <v>2.8E-3</v>
      </c>
      <c r="J315" s="158">
        <v>3.3999999999999998E-3</v>
      </c>
      <c r="K315" s="158">
        <v>4.0000000000000001E-3</v>
      </c>
      <c r="L315" s="158">
        <v>5.4000000000000003E-3</v>
      </c>
      <c r="M315" s="158">
        <v>6.6E-3</v>
      </c>
      <c r="N315" s="139" cm="1">
        <f t="array" aca="1" ref="N315:AE315" ca="1">IF(OR(B315="",NOT($J$2)),"",GetStripDefaultProbability(A315,B315,Parameter_Date,CDSRollDate,E315:M315,SpreadCurveMaturities,D315,C315,$J$4,$J$6))</f>
        <v>4.5932766153544691E-4</v>
      </c>
      <c r="O315" s="165">
        <f ca="1"/>
        <v>8.3954657583207304E-4</v>
      </c>
      <c r="P315" s="165">
        <f ca="1"/>
        <v>2.1228749874965258E-3</v>
      </c>
      <c r="Q315" s="165">
        <f ca="1"/>
        <v>5.1842459494569892E-3</v>
      </c>
      <c r="R315" s="165">
        <f ca="1"/>
        <v>1.0884810167067216E-2</v>
      </c>
      <c r="S315" s="165">
        <f ca="1"/>
        <v>1.7632075934250535E-2</v>
      </c>
      <c r="T315" s="165">
        <f ca="1"/>
        <v>2.5985813961622806E-2</v>
      </c>
      <c r="U315" s="165">
        <f ca="1"/>
        <v>4.9569043143947722E-2</v>
      </c>
      <c r="V315" s="140">
        <f ca="1"/>
        <v>8.639962118422817E-2</v>
      </c>
      <c r="W315" s="139">
        <f ca="1"/>
        <v>4.975952146375473E-4</v>
      </c>
      <c r="X315" s="165">
        <f ca="1"/>
        <v>9.0947679810748916E-4</v>
      </c>
      <c r="Y315" s="165">
        <f ca="1"/>
        <v>2.2476018325267022E-3</v>
      </c>
      <c r="Z315" s="165">
        <f ca="1"/>
        <v>5.4329188025598052E-3</v>
      </c>
      <c r="AA315" s="165">
        <f ca="1"/>
        <v>1.1425568952447951E-2</v>
      </c>
      <c r="AB315" s="165">
        <f ca="1"/>
        <v>1.85063919172197E-2</v>
      </c>
      <c r="AC315" s="165">
        <f ca="1"/>
        <v>2.7270817766523403E-2</v>
      </c>
      <c r="AD315" s="165">
        <f ca="1"/>
        <v>5.1995922572097175E-2</v>
      </c>
      <c r="AE315" s="140">
        <f ca="1"/>
        <v>9.0576025033911378E-2</v>
      </c>
      <c r="AG315" s="137">
        <v>4.0000000000000002E-4</v>
      </c>
      <c r="AH315" s="137">
        <v>8.0000000000000004E-4</v>
      </c>
      <c r="AI315" s="137">
        <v>2.0999999999999999E-3</v>
      </c>
      <c r="AJ315" s="137">
        <v>5.1000000000000004E-3</v>
      </c>
      <c r="AK315" s="137">
        <v>1.0800000000000001E-2</v>
      </c>
      <c r="AL315" s="137">
        <v>1.7600000000000001E-2</v>
      </c>
      <c r="AM315" s="137">
        <v>2.5899999999999999E-2</v>
      </c>
      <c r="AN315" s="137">
        <v>4.9500000000000002E-2</v>
      </c>
      <c r="AO315" s="137">
        <v>8.6300000000000002E-2</v>
      </c>
      <c r="AP315" s="137">
        <v>5.0000000000000001E-4</v>
      </c>
      <c r="AQ315" s="137">
        <v>8.9999999999999998E-4</v>
      </c>
      <c r="AR315" s="137">
        <v>2.2000000000000001E-3</v>
      </c>
      <c r="AS315" s="137">
        <v>5.4000000000000003E-3</v>
      </c>
      <c r="AT315" s="137">
        <v>1.14E-2</v>
      </c>
      <c r="AU315" s="137">
        <v>1.84E-2</v>
      </c>
      <c r="AV315" s="137">
        <v>2.7199999999999998E-2</v>
      </c>
      <c r="AW315" s="137">
        <v>5.1900000000000002E-2</v>
      </c>
      <c r="AX315" s="137">
        <v>9.0399999999999994E-2</v>
      </c>
    </row>
    <row r="316" spans="1:50" s="79" customFormat="1" ht="10.199999999999999" x14ac:dyDescent="0.2">
      <c r="A316" s="97">
        <f t="shared" ca="1" si="6"/>
        <v>305</v>
      </c>
      <c r="B316" s="68" t="s">
        <v>380</v>
      </c>
      <c r="C316" s="98">
        <v>0.2</v>
      </c>
      <c r="D316" s="69" t="s">
        <v>66</v>
      </c>
      <c r="E316" s="138" t="s">
        <v>87</v>
      </c>
      <c r="F316" s="158">
        <v>1.3799999999999999E-3</v>
      </c>
      <c r="G316" s="158">
        <v>2.1199999999999999E-3</v>
      </c>
      <c r="H316" s="158">
        <v>3.1199999999999999E-3</v>
      </c>
      <c r="I316" s="158">
        <v>3.9199999999999999E-3</v>
      </c>
      <c r="J316" s="158" t="s">
        <v>87</v>
      </c>
      <c r="K316" s="158">
        <v>5.1000000000000004E-3</v>
      </c>
      <c r="L316" s="158">
        <v>5.8199999999999997E-3</v>
      </c>
      <c r="M316" s="158">
        <v>6.4999999999999997E-3</v>
      </c>
      <c r="N316" s="139" cm="1">
        <f t="array" aca="1" ref="N316:AE316" ca="1">IF(OR(B316="",NOT($J$2)),"",GetStripDefaultProbability(A316,B316,Parameter_Date,CDSRollDate,E316:M316,SpreadCurveMaturities,D316,C316,$J$4,$J$6))</f>
        <v>0</v>
      </c>
      <c r="O316" s="165">
        <f ca="1"/>
        <v>9.6540722905158471E-4</v>
      </c>
      <c r="P316" s="165">
        <f ca="1"/>
        <v>2.8156781401662556E-3</v>
      </c>
      <c r="Q316" s="165">
        <f ca="1"/>
        <v>8.1044546226529679E-3</v>
      </c>
      <c r="R316" s="165">
        <f ca="1"/>
        <v>1.5181804301493074E-2</v>
      </c>
      <c r="S316" s="165">
        <f ca="1"/>
        <v>0</v>
      </c>
      <c r="T316" s="165">
        <f ca="1"/>
        <v>3.2761387468630554E-2</v>
      </c>
      <c r="U316" s="165">
        <f ca="1"/>
        <v>5.2082308422756185E-2</v>
      </c>
      <c r="V316" s="140">
        <f ca="1"/>
        <v>8.2457227594669003E-2</v>
      </c>
      <c r="W316" s="139">
        <f ca="1"/>
        <v>0</v>
      </c>
      <c r="X316" s="165">
        <f ca="1"/>
        <v>1.0353261057775009E-3</v>
      </c>
      <c r="Y316" s="165">
        <f ca="1"/>
        <v>2.9477963097955806E-3</v>
      </c>
      <c r="Z316" s="165">
        <f ca="1"/>
        <v>8.5079104834988595E-3</v>
      </c>
      <c r="AA316" s="165">
        <f ca="1"/>
        <v>1.5935659278509817E-2</v>
      </c>
      <c r="AB316" s="165">
        <f ca="1"/>
        <v>0</v>
      </c>
      <c r="AC316" s="165">
        <f ca="1"/>
        <v>3.4374110401147684E-2</v>
      </c>
      <c r="AD316" s="165">
        <f ca="1"/>
        <v>5.4624987149023196E-2</v>
      </c>
      <c r="AE316" s="140">
        <f ca="1"/>
        <v>8.6416276344296827E-2</v>
      </c>
      <c r="AH316" s="137">
        <v>8.9999999999999998E-4</v>
      </c>
      <c r="AI316" s="137">
        <v>2.8E-3</v>
      </c>
      <c r="AJ316" s="137">
        <v>8.0000000000000002E-3</v>
      </c>
      <c r="AK316" s="137">
        <v>1.5100000000000001E-2</v>
      </c>
      <c r="AM316" s="137">
        <v>3.27E-2</v>
      </c>
      <c r="AN316" s="137">
        <v>5.1999999999999998E-2</v>
      </c>
      <c r="AO316" s="137">
        <v>8.2299999999999998E-2</v>
      </c>
      <c r="AQ316" s="137">
        <v>1E-3</v>
      </c>
      <c r="AR316" s="137">
        <v>2.8999999999999998E-3</v>
      </c>
      <c r="AS316" s="137">
        <v>8.3999999999999995E-3</v>
      </c>
      <c r="AT316" s="137">
        <v>1.5900000000000001E-2</v>
      </c>
      <c r="AV316" s="137">
        <v>3.4299999999999997E-2</v>
      </c>
      <c r="AW316" s="137">
        <v>5.45E-2</v>
      </c>
      <c r="AX316" s="137">
        <v>8.6300000000000002E-2</v>
      </c>
    </row>
    <row r="317" spans="1:50" s="79" customFormat="1" ht="10.199999999999999" x14ac:dyDescent="0.2">
      <c r="A317" s="97">
        <f t="shared" ca="1" si="6"/>
        <v>306</v>
      </c>
      <c r="B317" s="68" t="s">
        <v>381</v>
      </c>
      <c r="C317" s="98">
        <v>0.2</v>
      </c>
      <c r="D317" s="69" t="s">
        <v>66</v>
      </c>
      <c r="E317" s="138" t="s">
        <v>87</v>
      </c>
      <c r="F317" s="158">
        <v>1.5100000000000001E-3</v>
      </c>
      <c r="G317" s="158">
        <v>2.1299999999999999E-3</v>
      </c>
      <c r="H317" s="158">
        <v>2.9499999999999999E-3</v>
      </c>
      <c r="I317" s="158">
        <v>3.6900000000000001E-3</v>
      </c>
      <c r="J317" s="158" t="s">
        <v>87</v>
      </c>
      <c r="K317" s="158">
        <v>5.0000000000000001E-3</v>
      </c>
      <c r="L317" s="158">
        <v>5.7000000000000002E-3</v>
      </c>
      <c r="M317" s="158">
        <v>6.3E-3</v>
      </c>
      <c r="N317" s="139" cm="1">
        <f t="array" aca="1" ref="N317:AE317" ca="1">IF(OR(B317="",NOT($J$2)),"",GetStripDefaultProbability(A317,B317,Parameter_Date,CDSRollDate,E317:M317,SpreadCurveMaturities,D317,C317,$J$4,$J$6))</f>
        <v>0</v>
      </c>
      <c r="O317" s="165">
        <f ca="1"/>
        <v>1.0563034497733659E-3</v>
      </c>
      <c r="P317" s="165">
        <f ca="1"/>
        <v>2.8267543855027277E-3</v>
      </c>
      <c r="Q317" s="165">
        <f ca="1"/>
        <v>7.6544958769154681E-3</v>
      </c>
      <c r="R317" s="165">
        <f ca="1"/>
        <v>1.4283965823893019E-2</v>
      </c>
      <c r="S317" s="165">
        <f ca="1"/>
        <v>0</v>
      </c>
      <c r="T317" s="165">
        <f ca="1"/>
        <v>3.2182088059931613E-2</v>
      </c>
      <c r="U317" s="165">
        <f ca="1"/>
        <v>5.1080251033323809E-2</v>
      </c>
      <c r="V317" s="140">
        <f ca="1"/>
        <v>7.9919480159250988E-2</v>
      </c>
      <c r="W317" s="139">
        <f ca="1"/>
        <v>0</v>
      </c>
      <c r="X317" s="165">
        <f ca="1"/>
        <v>1.1262155798089646E-3</v>
      </c>
      <c r="Y317" s="165">
        <f ca="1"/>
        <v>2.9594942381312439E-3</v>
      </c>
      <c r="Z317" s="165">
        <f ca="1"/>
        <v>8.035702062074157E-3</v>
      </c>
      <c r="AA317" s="165">
        <f ca="1"/>
        <v>1.4993561658048549E-2</v>
      </c>
      <c r="AB317" s="165">
        <f ca="1"/>
        <v>0</v>
      </c>
      <c r="AC317" s="165">
        <f ca="1"/>
        <v>3.3767054806403629E-2</v>
      </c>
      <c r="AD317" s="165">
        <f ca="1"/>
        <v>5.3575747928649831E-2</v>
      </c>
      <c r="AE317" s="140">
        <f ca="1"/>
        <v>8.3761659677006661E-2</v>
      </c>
      <c r="AH317" s="137">
        <v>1E-3</v>
      </c>
      <c r="AI317" s="137">
        <v>2.8E-3</v>
      </c>
      <c r="AJ317" s="137">
        <v>7.6E-3</v>
      </c>
      <c r="AK317" s="137">
        <v>1.4200000000000001E-2</v>
      </c>
      <c r="AM317" s="137">
        <v>3.2099999999999997E-2</v>
      </c>
      <c r="AN317" s="137">
        <v>5.0999999999999997E-2</v>
      </c>
      <c r="AO317" s="137">
        <v>7.9799999999999996E-2</v>
      </c>
      <c r="AQ317" s="137">
        <v>1.1000000000000001E-3</v>
      </c>
      <c r="AR317" s="137">
        <v>2.8999999999999998E-3</v>
      </c>
      <c r="AS317" s="137">
        <v>8.0000000000000002E-3</v>
      </c>
      <c r="AT317" s="137">
        <v>1.49E-2</v>
      </c>
      <c r="AV317" s="137">
        <v>3.3700000000000001E-2</v>
      </c>
      <c r="AW317" s="137">
        <v>5.3499999999999999E-2</v>
      </c>
      <c r="AX317" s="137">
        <v>8.3599999999999994E-2</v>
      </c>
    </row>
    <row r="318" spans="1:50" s="79" customFormat="1" ht="10.199999999999999" x14ac:dyDescent="0.2">
      <c r="A318" s="97">
        <f t="shared" ca="1" si="6"/>
        <v>307</v>
      </c>
      <c r="B318" s="68" t="s">
        <v>382</v>
      </c>
      <c r="C318" s="98">
        <v>0.4</v>
      </c>
      <c r="D318" s="69" t="s">
        <v>67</v>
      </c>
      <c r="E318" s="138" t="s">
        <v>87</v>
      </c>
      <c r="F318" s="158" t="s">
        <v>87</v>
      </c>
      <c r="G318" s="158">
        <v>1.2329999999999999E-3</v>
      </c>
      <c r="H318" s="158" t="s">
        <v>87</v>
      </c>
      <c r="I318" s="158">
        <v>2.516E-3</v>
      </c>
      <c r="J318" s="158" t="s">
        <v>87</v>
      </c>
      <c r="K318" s="158">
        <v>3.65E-3</v>
      </c>
      <c r="L318" s="158">
        <v>3.7980000000000002E-3</v>
      </c>
      <c r="M318" s="158">
        <v>3.9950000000000003E-3</v>
      </c>
      <c r="N318" s="139" cm="1">
        <f t="array" aca="1" ref="N318:AE318" ca="1">IF(OR(B318="",NOT($J$2)),"",GetStripDefaultProbability(A318,B318,Parameter_Date,CDSRollDate,E318:M318,SpreadCurveMaturities,D318,C318,$J$4,$J$6))</f>
        <v>0</v>
      </c>
      <c r="O318" s="165">
        <f ca="1"/>
        <v>0</v>
      </c>
      <c r="P318" s="165">
        <f ca="1"/>
        <v>2.1740397280021195E-3</v>
      </c>
      <c r="Q318" s="165">
        <f ca="1"/>
        <v>0</v>
      </c>
      <c r="R318" s="165">
        <f ca="1"/>
        <v>1.2972654735105782E-2</v>
      </c>
      <c r="S318" s="165">
        <f ca="1"/>
        <v>0</v>
      </c>
      <c r="T318" s="165">
        <f ca="1"/>
        <v>3.1461051384821581E-2</v>
      </c>
      <c r="U318" s="165">
        <f ca="1"/>
        <v>4.5190702784456582E-2</v>
      </c>
      <c r="V318" s="140">
        <f ca="1"/>
        <v>6.7166478033571675E-2</v>
      </c>
      <c r="W318" s="139">
        <f ca="1"/>
        <v>0</v>
      </c>
      <c r="X318" s="165">
        <f ca="1"/>
        <v>0</v>
      </c>
      <c r="Y318" s="165">
        <f ca="1"/>
        <v>2.3403301967919177E-3</v>
      </c>
      <c r="Z318" s="165">
        <f ca="1"/>
        <v>0</v>
      </c>
      <c r="AA318" s="165">
        <f ca="1"/>
        <v>1.3612309121889932E-2</v>
      </c>
      <c r="AB318" s="165">
        <f ca="1"/>
        <v>0</v>
      </c>
      <c r="AC318" s="165">
        <f ca="1"/>
        <v>3.3006716988978169E-2</v>
      </c>
      <c r="AD318" s="165">
        <f ca="1"/>
        <v>4.7398571039670157E-2</v>
      </c>
      <c r="AE318" s="140">
        <f ca="1"/>
        <v>7.0406783901757697E-2</v>
      </c>
      <c r="AI318" s="137">
        <v>2.0999999999999999E-3</v>
      </c>
      <c r="AK318" s="137">
        <v>1.29E-2</v>
      </c>
      <c r="AM318" s="137">
        <v>3.1399999999999997E-2</v>
      </c>
      <c r="AN318" s="137">
        <v>4.5100000000000001E-2</v>
      </c>
      <c r="AO318" s="137">
        <v>6.7100000000000007E-2</v>
      </c>
      <c r="AR318" s="137">
        <v>2.3E-3</v>
      </c>
      <c r="AT318" s="137">
        <v>1.35E-2</v>
      </c>
      <c r="AV318" s="137">
        <v>3.2899999999999999E-2</v>
      </c>
      <c r="AW318" s="137">
        <v>4.7300000000000002E-2</v>
      </c>
      <c r="AX318" s="137">
        <v>7.0300000000000001E-2</v>
      </c>
    </row>
    <row r="319" spans="1:50" s="79" customFormat="1" ht="10.199999999999999" x14ac:dyDescent="0.2">
      <c r="A319" s="97">
        <f t="shared" ca="1" si="6"/>
        <v>308</v>
      </c>
      <c r="B319" s="68" t="s">
        <v>383</v>
      </c>
      <c r="C319" s="98">
        <v>0.2</v>
      </c>
      <c r="D319" s="69" t="s">
        <v>67</v>
      </c>
      <c r="E319" s="138" t="s">
        <v>87</v>
      </c>
      <c r="F319" s="158">
        <v>1.6000000000000001E-3</v>
      </c>
      <c r="G319" s="158">
        <v>1.9E-3</v>
      </c>
      <c r="H319" s="158">
        <v>2.5000000000000001E-3</v>
      </c>
      <c r="I319" s="158">
        <v>3.0000000000000001E-3</v>
      </c>
      <c r="J319" s="158" t="s">
        <v>87</v>
      </c>
      <c r="K319" s="158">
        <v>3.7000000000000002E-3</v>
      </c>
      <c r="L319" s="158">
        <v>3.8999999999999998E-3</v>
      </c>
      <c r="M319" s="158">
        <v>4.0000000000000001E-3</v>
      </c>
      <c r="N319" s="139" cm="1">
        <f t="array" aca="1" ref="N319:AE319" ca="1">IF(OR(B319="",NOT($J$2)),"",GetStripDefaultProbability(A319,B319,Parameter_Date,CDSRollDate,E319:M319,SpreadCurveMaturities,D319,C319,$J$4,$J$6))</f>
        <v>0</v>
      </c>
      <c r="O319" s="165">
        <f ca="1"/>
        <v>1.1192437531143407E-3</v>
      </c>
      <c r="P319" s="165">
        <f ca="1"/>
        <v>2.5174043393346723E-3</v>
      </c>
      <c r="Q319" s="165">
        <f ca="1"/>
        <v>6.4796350301224992E-3</v>
      </c>
      <c r="R319" s="165">
        <f ca="1"/>
        <v>1.1598075857024104E-2</v>
      </c>
      <c r="S319" s="165">
        <f ca="1"/>
        <v>0</v>
      </c>
      <c r="T319" s="165">
        <f ca="1"/>
        <v>2.3765969552525523E-2</v>
      </c>
      <c r="U319" s="165">
        <f ca="1"/>
        <v>3.4791934371880218E-2</v>
      </c>
      <c r="V319" s="140">
        <f ca="1"/>
        <v>5.040286698068086E-2</v>
      </c>
      <c r="W319" s="139">
        <f ca="1"/>
        <v>0</v>
      </c>
      <c r="X319" s="165">
        <f ca="1"/>
        <v>1.1891522559763779E-3</v>
      </c>
      <c r="Y319" s="165">
        <f ca="1"/>
        <v>2.6420818712890037E-3</v>
      </c>
      <c r="Z319" s="165">
        <f ca="1"/>
        <v>6.7900616374790834E-3</v>
      </c>
      <c r="AA319" s="165">
        <f ca="1"/>
        <v>1.2175208851253672E-2</v>
      </c>
      <c r="AB319" s="165">
        <f ca="1"/>
        <v>0</v>
      </c>
      <c r="AC319" s="165">
        <f ca="1"/>
        <v>2.4940866228833847E-2</v>
      </c>
      <c r="AD319" s="165">
        <f ca="1"/>
        <v>3.650284178559271E-2</v>
      </c>
      <c r="AE319" s="140">
        <f ca="1"/>
        <v>5.2857893569912329E-2</v>
      </c>
      <c r="AH319" s="137">
        <v>1.1000000000000001E-3</v>
      </c>
      <c r="AI319" s="137">
        <v>2.5000000000000001E-3</v>
      </c>
      <c r="AJ319" s="137">
        <v>6.4000000000000003E-3</v>
      </c>
      <c r="AK319" s="137">
        <v>1.15E-2</v>
      </c>
      <c r="AM319" s="137">
        <v>2.3699999999999999E-2</v>
      </c>
      <c r="AN319" s="137">
        <v>3.4700000000000002E-2</v>
      </c>
      <c r="AO319" s="137">
        <v>5.0299999999999997E-2</v>
      </c>
      <c r="AQ319" s="137">
        <v>1.1999999999999999E-3</v>
      </c>
      <c r="AR319" s="137">
        <v>2.5999999999999999E-3</v>
      </c>
      <c r="AS319" s="137">
        <v>6.7000000000000002E-3</v>
      </c>
      <c r="AT319" s="137">
        <v>1.21E-2</v>
      </c>
      <c r="AV319" s="137">
        <v>2.4899999999999999E-2</v>
      </c>
      <c r="AW319" s="137">
        <v>3.6400000000000002E-2</v>
      </c>
      <c r="AX319" s="137">
        <v>5.28E-2</v>
      </c>
    </row>
    <row r="320" spans="1:50" s="79" customFormat="1" ht="10.199999999999999" x14ac:dyDescent="0.2">
      <c r="A320" s="97">
        <f t="shared" ca="1" si="6"/>
        <v>309</v>
      </c>
      <c r="B320" s="68" t="s">
        <v>384</v>
      </c>
      <c r="C320" s="98">
        <v>0.4</v>
      </c>
      <c r="D320" s="69" t="s">
        <v>67</v>
      </c>
      <c r="E320" s="138" t="s">
        <v>87</v>
      </c>
      <c r="F320" s="158" t="s">
        <v>87</v>
      </c>
      <c r="G320" s="158" t="s">
        <v>87</v>
      </c>
      <c r="H320" s="158" t="s">
        <v>87</v>
      </c>
      <c r="I320" s="158" t="s">
        <v>87</v>
      </c>
      <c r="J320" s="158" t="s">
        <v>87</v>
      </c>
      <c r="K320" s="158">
        <v>2E-3</v>
      </c>
      <c r="L320" s="158">
        <v>3.6129999999999999E-3</v>
      </c>
      <c r="M320" s="158">
        <v>4.9030000000000002E-3</v>
      </c>
      <c r="N320" s="139" cm="1">
        <f t="array" aca="1" ref="N320:AE320" ca="1">IF(OR(B320="",NOT($J$2)),"",GetStripDefaultProbability(A320,B320,Parameter_Date,CDSRollDate,E320:M320,SpreadCurveMaturities,D320,C320,$J$4,$J$6))</f>
        <v>0</v>
      </c>
      <c r="O320" s="165">
        <f ca="1"/>
        <v>0</v>
      </c>
      <c r="P320" s="165">
        <f ca="1"/>
        <v>0</v>
      </c>
      <c r="Q320" s="165">
        <f ca="1"/>
        <v>0</v>
      </c>
      <c r="R320" s="165">
        <f ca="1"/>
        <v>0</v>
      </c>
      <c r="S320" s="165">
        <f ca="1"/>
        <v>0</v>
      </c>
      <c r="T320" s="165">
        <f ca="1"/>
        <v>1.6822760861582076E-2</v>
      </c>
      <c r="U320" s="165">
        <f ca="1"/>
        <v>4.4723261695792771E-2</v>
      </c>
      <c r="V320" s="140">
        <f ca="1"/>
        <v>8.731546133152468E-2</v>
      </c>
      <c r="W320" s="139">
        <f ca="1"/>
        <v>0</v>
      </c>
      <c r="X320" s="165">
        <f ca="1"/>
        <v>0</v>
      </c>
      <c r="Y320" s="165">
        <f ca="1"/>
        <v>0</v>
      </c>
      <c r="Z320" s="165">
        <f ca="1"/>
        <v>0</v>
      </c>
      <c r="AA320" s="165">
        <f ca="1"/>
        <v>0</v>
      </c>
      <c r="AB320" s="165">
        <f ca="1"/>
        <v>0</v>
      </c>
      <c r="AC320" s="165">
        <f ca="1"/>
        <v>1.7641733941279658E-2</v>
      </c>
      <c r="AD320" s="165">
        <f ca="1"/>
        <v>4.692055228273917E-2</v>
      </c>
      <c r="AE320" s="140">
        <f ca="1"/>
        <v>9.1553226095387408E-2</v>
      </c>
      <c r="AM320" s="137">
        <v>1.6799999999999999E-2</v>
      </c>
      <c r="AN320" s="137">
        <v>4.4600000000000001E-2</v>
      </c>
      <c r="AO320" s="137">
        <v>8.72E-2</v>
      </c>
      <c r="AV320" s="137">
        <v>1.7600000000000001E-2</v>
      </c>
      <c r="AW320" s="137">
        <v>4.6800000000000001E-2</v>
      </c>
      <c r="AX320" s="137">
        <v>9.1399999999999995E-2</v>
      </c>
    </row>
    <row r="321" spans="1:50" s="79" customFormat="1" ht="10.199999999999999" x14ac:dyDescent="0.2">
      <c r="A321" s="97">
        <f t="shared" ca="1" si="6"/>
        <v>310</v>
      </c>
      <c r="B321" s="68" t="s">
        <v>98</v>
      </c>
      <c r="C321" s="98">
        <v>0.4</v>
      </c>
      <c r="D321" s="69" t="s">
        <v>66</v>
      </c>
      <c r="E321" s="138" t="s">
        <v>87</v>
      </c>
      <c r="F321" s="158">
        <v>1.1900000000000001E-3</v>
      </c>
      <c r="G321" s="158">
        <v>1.4300000000000001E-3</v>
      </c>
      <c r="H321" s="158">
        <v>1.91E-3</v>
      </c>
      <c r="I321" s="158">
        <v>2.32E-3</v>
      </c>
      <c r="J321" s="158" t="s">
        <v>87</v>
      </c>
      <c r="K321" s="158">
        <v>3.0999999999999999E-3</v>
      </c>
      <c r="L321" s="158">
        <v>3.5100000000000001E-3</v>
      </c>
      <c r="M321" s="158">
        <v>3.8999999999999998E-3</v>
      </c>
      <c r="N321" s="139" cm="1">
        <f t="array" aca="1" ref="N321:AE321" ca="1">IF(OR(B321="",NOT($J$2)),"",GetStripDefaultProbability(A321,B321,Parameter_Date,CDSRollDate,E321:M321,SpreadCurveMaturities,D321,C321,$J$4,$J$6))</f>
        <v>0</v>
      </c>
      <c r="O321" s="165">
        <f ca="1"/>
        <v>1.1099050460458004E-3</v>
      </c>
      <c r="P321" s="165">
        <f ca="1"/>
        <v>2.5265385813129093E-3</v>
      </c>
      <c r="Q321" s="165">
        <f ca="1"/>
        <v>6.6025121900717965E-3</v>
      </c>
      <c r="R321" s="165">
        <f ca="1"/>
        <v>1.1964435602471735E-2</v>
      </c>
      <c r="S321" s="165">
        <f ca="1"/>
        <v>0</v>
      </c>
      <c r="T321" s="165">
        <f ca="1"/>
        <v>2.6621505378629062E-2</v>
      </c>
      <c r="U321" s="165">
        <f ca="1"/>
        <v>4.202581836535213E-2</v>
      </c>
      <c r="V321" s="140">
        <f ca="1"/>
        <v>6.6341726751037666E-2</v>
      </c>
      <c r="W321" s="139">
        <f ca="1"/>
        <v>0</v>
      </c>
      <c r="X321" s="165">
        <f ca="1"/>
        <v>1.2031155852008091E-3</v>
      </c>
      <c r="Y321" s="165">
        <f ca="1"/>
        <v>2.6927703051808916E-3</v>
      </c>
      <c r="Z321" s="165">
        <f ca="1"/>
        <v>6.9335895033875161E-3</v>
      </c>
      <c r="AA321" s="165">
        <f ca="1"/>
        <v>1.2556798223608778E-2</v>
      </c>
      <c r="AB321" s="165">
        <f ca="1"/>
        <v>0</v>
      </c>
      <c r="AC321" s="165">
        <f ca="1"/>
        <v>2.7933337438693528E-2</v>
      </c>
      <c r="AD321" s="165">
        <f ca="1"/>
        <v>4.408462955311454E-2</v>
      </c>
      <c r="AE321" s="140">
        <f ca="1"/>
        <v>6.9550555683127069E-2</v>
      </c>
      <c r="AH321" s="137">
        <v>1.1000000000000001E-3</v>
      </c>
      <c r="AI321" s="137">
        <v>2.5000000000000001E-3</v>
      </c>
      <c r="AJ321" s="137">
        <v>6.6E-3</v>
      </c>
      <c r="AK321" s="137">
        <v>1.1900000000000001E-2</v>
      </c>
      <c r="AM321" s="137">
        <v>2.6499999999999999E-2</v>
      </c>
      <c r="AN321" s="137">
        <v>4.19E-2</v>
      </c>
      <c r="AO321" s="137">
        <v>6.6199999999999995E-2</v>
      </c>
      <c r="AQ321" s="137">
        <v>1.1999999999999999E-3</v>
      </c>
      <c r="AR321" s="137">
        <v>2.7000000000000001E-3</v>
      </c>
      <c r="AS321" s="137">
        <v>6.8999999999999999E-3</v>
      </c>
      <c r="AT321" s="137">
        <v>1.2500000000000001E-2</v>
      </c>
      <c r="AV321" s="137">
        <v>2.7900000000000001E-2</v>
      </c>
      <c r="AW321" s="137">
        <v>4.3999999999999997E-2</v>
      </c>
      <c r="AX321" s="137">
        <v>6.9400000000000003E-2</v>
      </c>
    </row>
    <row r="322" spans="1:50" s="79" customFormat="1" ht="10.199999999999999" x14ac:dyDescent="0.2">
      <c r="A322" s="97">
        <f t="shared" ca="1" si="6"/>
        <v>311</v>
      </c>
      <c r="B322" s="68" t="s">
        <v>107</v>
      </c>
      <c r="C322" s="98">
        <v>0.4</v>
      </c>
      <c r="D322" s="69" t="s">
        <v>66</v>
      </c>
      <c r="E322" s="138" t="s">
        <v>87</v>
      </c>
      <c r="F322" s="158">
        <v>5.0000000000000001E-4</v>
      </c>
      <c r="G322" s="158">
        <v>8.0000000000000004E-4</v>
      </c>
      <c r="H322" s="158">
        <v>1.1999999999999999E-3</v>
      </c>
      <c r="I322" s="158">
        <v>1.6000000000000001E-3</v>
      </c>
      <c r="J322" s="158" t="s">
        <v>87</v>
      </c>
      <c r="K322" s="158">
        <v>2.5999999999999999E-3</v>
      </c>
      <c r="L322" s="158">
        <v>3.2000000000000002E-3</v>
      </c>
      <c r="M322" s="158">
        <v>3.5999999999999999E-3</v>
      </c>
      <c r="N322" s="139" cm="1">
        <f t="array" aca="1" ref="N322:AE322" ca="1">IF(OR(B322="",NOT($J$2)),"",GetStripDefaultProbability(A322,B322,Parameter_Date,CDSRollDate,E322:M322,SpreadCurveMaturities,D322,C322,$J$4,$J$6))</f>
        <v>0</v>
      </c>
      <c r="O322" s="165">
        <f ca="1"/>
        <v>4.6649647376628689E-4</v>
      </c>
      <c r="P322" s="165">
        <f ca="1"/>
        <v>1.4179756342108663E-3</v>
      </c>
      <c r="Q322" s="165">
        <f ca="1"/>
        <v>4.1643281717038683E-3</v>
      </c>
      <c r="R322" s="165">
        <f ca="1"/>
        <v>8.3022077948685657E-3</v>
      </c>
      <c r="S322" s="165">
        <f ca="1"/>
        <v>0</v>
      </c>
      <c r="T322" s="165">
        <f ca="1"/>
        <v>2.2605056720911954E-2</v>
      </c>
      <c r="U322" s="165">
        <f ca="1"/>
        <v>3.8922075472979323E-2</v>
      </c>
      <c r="V322" s="140">
        <f ca="1"/>
        <v>6.2036755697362111E-2</v>
      </c>
      <c r="W322" s="139">
        <f ca="1"/>
        <v>0</v>
      </c>
      <c r="X322" s="165">
        <f ca="1"/>
        <v>5.5976917815403482E-4</v>
      </c>
      <c r="Y322" s="165">
        <f ca="1"/>
        <v>1.5843921031823971E-3</v>
      </c>
      <c r="Z322" s="165">
        <f ca="1"/>
        <v>4.4962180775836025E-3</v>
      </c>
      <c r="AA322" s="165">
        <f ca="1"/>
        <v>8.7979327494193127E-3</v>
      </c>
      <c r="AB322" s="165">
        <f ca="1"/>
        <v>0</v>
      </c>
      <c r="AC322" s="165">
        <f ca="1"/>
        <v>2.3705890165743093E-2</v>
      </c>
      <c r="AD322" s="165">
        <f ca="1"/>
        <v>4.0818479933554919E-2</v>
      </c>
      <c r="AE322" s="140">
        <f ca="1"/>
        <v>6.5032571313006882E-2</v>
      </c>
      <c r="AH322" s="137">
        <v>5.0000000000000001E-4</v>
      </c>
      <c r="AI322" s="137">
        <v>1.4E-3</v>
      </c>
      <c r="AJ322" s="137">
        <v>4.1000000000000003E-3</v>
      </c>
      <c r="AK322" s="137">
        <v>8.3000000000000001E-3</v>
      </c>
      <c r="AM322" s="137">
        <v>2.2499999999999999E-2</v>
      </c>
      <c r="AN322" s="137">
        <v>3.8800000000000001E-2</v>
      </c>
      <c r="AO322" s="137">
        <v>6.1899999999999997E-2</v>
      </c>
      <c r="AQ322" s="137">
        <v>5.0000000000000001E-4</v>
      </c>
      <c r="AR322" s="137">
        <v>1.6000000000000001E-3</v>
      </c>
      <c r="AS322" s="137">
        <v>4.4999999999999997E-3</v>
      </c>
      <c r="AT322" s="137">
        <v>8.8000000000000005E-3</v>
      </c>
      <c r="AV322" s="137">
        <v>2.3599999999999999E-2</v>
      </c>
      <c r="AW322" s="137">
        <v>4.07E-2</v>
      </c>
      <c r="AX322" s="137">
        <v>6.4899999999999999E-2</v>
      </c>
    </row>
    <row r="323" spans="1:50" s="79" customFormat="1" ht="10.199999999999999" x14ac:dyDescent="0.2">
      <c r="A323" s="97">
        <f t="shared" ca="1" si="6"/>
        <v>312</v>
      </c>
      <c r="B323" s="68" t="s">
        <v>385</v>
      </c>
      <c r="C323" s="98">
        <v>0.4</v>
      </c>
      <c r="D323" s="69" t="s">
        <v>67</v>
      </c>
      <c r="E323" s="138" t="s">
        <v>87</v>
      </c>
      <c r="F323" s="158" t="s">
        <v>87</v>
      </c>
      <c r="G323" s="158">
        <v>5.9999999999999995E-4</v>
      </c>
      <c r="H323" s="158" t="s">
        <v>87</v>
      </c>
      <c r="I323" s="158">
        <v>1.1999999999999999E-3</v>
      </c>
      <c r="J323" s="158" t="s">
        <v>87</v>
      </c>
      <c r="K323" s="158">
        <v>2.0999999999999999E-3</v>
      </c>
      <c r="L323" s="158">
        <v>3.0000000000000001E-3</v>
      </c>
      <c r="M323" s="158">
        <v>4.1000000000000003E-3</v>
      </c>
      <c r="N323" s="139" cm="1">
        <f t="array" aca="1" ref="N323:AE323" ca="1">IF(OR(B323="",NOT($J$2)),"",GetStripDefaultProbability(A323,B323,Parameter_Date,CDSRollDate,E323:M323,SpreadCurveMaturities,D323,C323,$J$4,$J$6))</f>
        <v>0</v>
      </c>
      <c r="O323" s="165">
        <f ca="1"/>
        <v>0</v>
      </c>
      <c r="P323" s="165">
        <f ca="1"/>
        <v>1.0585134944717245E-3</v>
      </c>
      <c r="Q323" s="165">
        <f ca="1"/>
        <v>0</v>
      </c>
      <c r="R323" s="165">
        <f ca="1"/>
        <v>6.2027478450060736E-3</v>
      </c>
      <c r="S323" s="165">
        <f ca="1"/>
        <v>0</v>
      </c>
      <c r="T323" s="165">
        <f ca="1"/>
        <v>1.8342865851006973E-2</v>
      </c>
      <c r="U323" s="165">
        <f ca="1"/>
        <v>3.7162098999685256E-2</v>
      </c>
      <c r="V323" s="140">
        <f ca="1"/>
        <v>7.3387859221909935E-2</v>
      </c>
      <c r="W323" s="139">
        <f ca="1"/>
        <v>0</v>
      </c>
      <c r="X323" s="165">
        <f ca="1"/>
        <v>0</v>
      </c>
      <c r="Y323" s="165">
        <f ca="1"/>
        <v>1.224989868802262E-3</v>
      </c>
      <c r="Z323" s="165">
        <f ca="1"/>
        <v>0</v>
      </c>
      <c r="AA323" s="165">
        <f ca="1"/>
        <v>6.699522267089475E-3</v>
      </c>
      <c r="AB323" s="165">
        <f ca="1"/>
        <v>0</v>
      </c>
      <c r="AC323" s="165">
        <f ca="1"/>
        <v>1.9223374881850552E-2</v>
      </c>
      <c r="AD323" s="165">
        <f ca="1"/>
        <v>3.8963330209788261E-2</v>
      </c>
      <c r="AE323" s="140">
        <f ca="1"/>
        <v>7.6912701720626697E-2</v>
      </c>
      <c r="AI323" s="137">
        <v>1E-3</v>
      </c>
      <c r="AK323" s="137">
        <v>6.1999999999999998E-3</v>
      </c>
      <c r="AM323" s="137">
        <v>1.83E-2</v>
      </c>
      <c r="AN323" s="137">
        <v>3.7100000000000001E-2</v>
      </c>
      <c r="AO323" s="137">
        <v>7.3300000000000004E-2</v>
      </c>
      <c r="AR323" s="137">
        <v>1.1999999999999999E-3</v>
      </c>
      <c r="AT323" s="137">
        <v>6.7000000000000002E-3</v>
      </c>
      <c r="AV323" s="137">
        <v>1.9099999999999999E-2</v>
      </c>
      <c r="AW323" s="137">
        <v>3.8899999999999997E-2</v>
      </c>
      <c r="AX323" s="137">
        <v>7.6799999999999993E-2</v>
      </c>
    </row>
    <row r="324" spans="1:50" s="79" customFormat="1" ht="10.199999999999999" x14ac:dyDescent="0.2">
      <c r="A324" s="97">
        <f t="shared" ca="1" si="6"/>
        <v>313</v>
      </c>
      <c r="B324" s="68" t="s">
        <v>141</v>
      </c>
      <c r="C324" s="98">
        <v>0.4</v>
      </c>
      <c r="D324" s="69" t="s">
        <v>66</v>
      </c>
      <c r="E324" s="138" t="s">
        <v>87</v>
      </c>
      <c r="F324" s="158">
        <v>2.9999999999999997E-4</v>
      </c>
      <c r="G324" s="158">
        <v>5.0000000000000001E-4</v>
      </c>
      <c r="H324" s="158">
        <v>1E-3</v>
      </c>
      <c r="I324" s="158">
        <v>1.5E-3</v>
      </c>
      <c r="J324" s="158" t="s">
        <v>87</v>
      </c>
      <c r="K324" s="158">
        <v>2.3E-3</v>
      </c>
      <c r="L324" s="158">
        <v>2.8999999999999998E-3</v>
      </c>
      <c r="M324" s="158">
        <v>3.3999999999999998E-3</v>
      </c>
      <c r="N324" s="139" cm="1">
        <f t="array" aca="1" ref="N324:AE324" ca="1">IF(OR(B324="",NOT($J$2)),"",GetStripDefaultProbability(A324,B324,Parameter_Date,CDSRollDate,E324:M324,SpreadCurveMaturities,D324,C324,$J$4,$J$6))</f>
        <v>0</v>
      </c>
      <c r="O324" s="165">
        <f ca="1"/>
        <v>2.799239499720052E-4</v>
      </c>
      <c r="P324" s="165">
        <f ca="1"/>
        <v>8.8670719766348327E-4</v>
      </c>
      <c r="Q324" s="165">
        <f ca="1"/>
        <v>3.4841229513721261E-3</v>
      </c>
      <c r="R324" s="165">
        <f ca="1"/>
        <v>7.8246934916494926E-3</v>
      </c>
      <c r="S324" s="165">
        <f ca="1"/>
        <v>0</v>
      </c>
      <c r="T324" s="165">
        <f ca="1"/>
        <v>2.0009091265895895E-2</v>
      </c>
      <c r="U324" s="165">
        <f ca="1"/>
        <v>3.5384979759734869E-2</v>
      </c>
      <c r="V324" s="140">
        <f ca="1"/>
        <v>5.9077103439299283E-2</v>
      </c>
      <c r="W324" s="139">
        <f ca="1"/>
        <v>0</v>
      </c>
      <c r="X324" s="165">
        <f ca="1"/>
        <v>3.7321434723358582E-4</v>
      </c>
      <c r="Y324" s="165">
        <f ca="1"/>
        <v>1.0532122039936809E-3</v>
      </c>
      <c r="Z324" s="165">
        <f ca="1"/>
        <v>3.8162395545482397E-3</v>
      </c>
      <c r="AA324" s="165">
        <f ca="1"/>
        <v>8.3206571436648114E-3</v>
      </c>
      <c r="AB324" s="165">
        <f ca="1"/>
        <v>0</v>
      </c>
      <c r="AC324" s="165">
        <f ca="1"/>
        <v>2.0978005316632076E-2</v>
      </c>
      <c r="AD324" s="165">
        <f ca="1"/>
        <v>3.7105486021357215E-2</v>
      </c>
      <c r="AE324" s="140">
        <f ca="1"/>
        <v>6.1930004161832919E-2</v>
      </c>
      <c r="AH324" s="137">
        <v>2.9999999999999997E-4</v>
      </c>
      <c r="AI324" s="137">
        <v>8.9999999999999998E-4</v>
      </c>
      <c r="AJ324" s="137">
        <v>3.5000000000000001E-3</v>
      </c>
      <c r="AK324" s="137">
        <v>7.7999999999999996E-3</v>
      </c>
      <c r="AM324" s="137">
        <v>0.02</v>
      </c>
      <c r="AN324" s="137">
        <v>3.5299999999999998E-2</v>
      </c>
      <c r="AO324" s="137">
        <v>5.8999999999999997E-2</v>
      </c>
      <c r="AQ324" s="137">
        <v>4.0000000000000002E-4</v>
      </c>
      <c r="AR324" s="137">
        <v>1E-3</v>
      </c>
      <c r="AS324" s="137">
        <v>3.8E-3</v>
      </c>
      <c r="AT324" s="137">
        <v>8.3000000000000001E-3</v>
      </c>
      <c r="AV324" s="137">
        <v>2.0899999999999998E-2</v>
      </c>
      <c r="AW324" s="137">
        <v>3.6999999999999998E-2</v>
      </c>
      <c r="AX324" s="137">
        <v>6.1800000000000001E-2</v>
      </c>
    </row>
    <row r="325" spans="1:50" s="79" customFormat="1" ht="10.199999999999999" x14ac:dyDescent="0.2">
      <c r="A325" s="97">
        <f t="shared" ca="1" si="6"/>
        <v>314</v>
      </c>
      <c r="B325" s="68" t="s">
        <v>386</v>
      </c>
      <c r="C325" s="98">
        <v>0.4</v>
      </c>
      <c r="D325" s="69" t="s">
        <v>67</v>
      </c>
      <c r="E325" s="138" t="s">
        <v>87</v>
      </c>
      <c r="F325" s="158" t="s">
        <v>87</v>
      </c>
      <c r="G325" s="158">
        <v>4.9600000000000002E-4</v>
      </c>
      <c r="H325" s="158" t="s">
        <v>87</v>
      </c>
      <c r="I325" s="158">
        <v>1.2899999999999999E-3</v>
      </c>
      <c r="J325" s="158" t="s">
        <v>87</v>
      </c>
      <c r="K325" s="158">
        <v>2.15E-3</v>
      </c>
      <c r="L325" s="158">
        <v>2.6740000000000002E-3</v>
      </c>
      <c r="M325" s="158">
        <v>3.199E-3</v>
      </c>
      <c r="N325" s="139" cm="1">
        <f t="array" aca="1" ref="N325:AE325" ca="1">IF(OR(B325="",NOT($J$2)),"",GetStripDefaultProbability(A325,B325,Parameter_Date,CDSRollDate,E325:M325,SpreadCurveMaturities,D325,C325,$J$4,$J$6))</f>
        <v>0</v>
      </c>
      <c r="O325" s="165">
        <f ca="1"/>
        <v>0</v>
      </c>
      <c r="P325" s="165">
        <f ca="1"/>
        <v>8.7511754750546622E-4</v>
      </c>
      <c r="Q325" s="165">
        <f ca="1"/>
        <v>0</v>
      </c>
      <c r="R325" s="165">
        <f ca="1"/>
        <v>6.6857675623421819E-3</v>
      </c>
      <c r="S325" s="165">
        <f ca="1"/>
        <v>0</v>
      </c>
      <c r="T325" s="165">
        <f ca="1"/>
        <v>1.8758325573149714E-2</v>
      </c>
      <c r="U325" s="165">
        <f ca="1"/>
        <v>3.2756586997930714E-2</v>
      </c>
      <c r="V325" s="140">
        <f ca="1"/>
        <v>5.6137162061262735E-2</v>
      </c>
      <c r="W325" s="139">
        <f ca="1"/>
        <v>0</v>
      </c>
      <c r="X325" s="165">
        <f ca="1"/>
        <v>0</v>
      </c>
      <c r="Y325" s="165">
        <f ca="1"/>
        <v>1.0416244852846646E-3</v>
      </c>
      <c r="Z325" s="165">
        <f ca="1"/>
        <v>0</v>
      </c>
      <c r="AA325" s="165">
        <f ca="1"/>
        <v>7.18230053495994E-3</v>
      </c>
      <c r="AB325" s="165">
        <f ca="1"/>
        <v>0</v>
      </c>
      <c r="AC325" s="165">
        <f ca="1"/>
        <v>1.9661047651119312E-2</v>
      </c>
      <c r="AD325" s="165">
        <f ca="1"/>
        <v>3.4344699825895941E-2</v>
      </c>
      <c r="AE325" s="140">
        <f ca="1"/>
        <v>5.8845929388816387E-2</v>
      </c>
      <c r="AI325" s="137">
        <v>8.9999999999999998E-4</v>
      </c>
      <c r="AK325" s="137">
        <v>6.7000000000000002E-3</v>
      </c>
      <c r="AM325" s="137">
        <v>1.8700000000000001E-2</v>
      </c>
      <c r="AN325" s="137">
        <v>3.27E-2</v>
      </c>
      <c r="AO325" s="137">
        <v>5.6000000000000001E-2</v>
      </c>
      <c r="AR325" s="137">
        <v>1E-3</v>
      </c>
      <c r="AT325" s="137">
        <v>7.1999999999999998E-3</v>
      </c>
      <c r="AV325" s="137">
        <v>1.9599999999999999E-2</v>
      </c>
      <c r="AW325" s="137">
        <v>3.4299999999999997E-2</v>
      </c>
      <c r="AX325" s="137">
        <v>5.8799999999999998E-2</v>
      </c>
    </row>
    <row r="326" spans="1:50" s="79" customFormat="1" ht="10.199999999999999" x14ac:dyDescent="0.2">
      <c r="A326" s="97">
        <f t="shared" ca="1" si="6"/>
        <v>315</v>
      </c>
      <c r="B326" s="68" t="s">
        <v>387</v>
      </c>
      <c r="C326" s="98">
        <v>0.4</v>
      </c>
      <c r="D326" s="69" t="s">
        <v>67</v>
      </c>
      <c r="E326" s="138" t="s">
        <v>87</v>
      </c>
      <c r="F326" s="158">
        <v>5.1000000000000004E-3</v>
      </c>
      <c r="G326" s="158">
        <v>5.1000000000000004E-3</v>
      </c>
      <c r="H326" s="158">
        <v>5.1000000000000004E-3</v>
      </c>
      <c r="I326" s="158">
        <v>5.5700000000000003E-3</v>
      </c>
      <c r="J326" s="158" t="s">
        <v>87</v>
      </c>
      <c r="K326" s="158">
        <v>6.0000000000000001E-3</v>
      </c>
      <c r="L326" s="158">
        <v>6.2100000000000002E-3</v>
      </c>
      <c r="M326" s="158">
        <v>6.3E-3</v>
      </c>
      <c r="N326" s="139" cm="1">
        <f t="array" aca="1" ref="N326:AE326" ca="1">IF(OR(B326="",NOT($J$2)),"",GetStripDefaultProbability(A326,B326,Parameter_Date,CDSRollDate,E326:M326,SpreadCurveMaturities,D326,C326,$J$4,$J$6))</f>
        <v>0</v>
      </c>
      <c r="O326" s="165">
        <f ca="1"/>
        <v>4.7481668811913957E-3</v>
      </c>
      <c r="P326" s="165">
        <f ca="1"/>
        <v>8.9616891276023125E-3</v>
      </c>
      <c r="Q326" s="165">
        <f ca="1"/>
        <v>1.7407210634193149E-2</v>
      </c>
      <c r="R326" s="165">
        <f ca="1"/>
        <v>2.8255014739486328E-2</v>
      </c>
      <c r="S326" s="165">
        <f ca="1"/>
        <v>0</v>
      </c>
      <c r="T326" s="165">
        <f ca="1"/>
        <v>5.0068441206889358E-2</v>
      </c>
      <c r="U326" s="165">
        <f ca="1"/>
        <v>7.1705858060821859E-2</v>
      </c>
      <c r="V326" s="140">
        <f ca="1"/>
        <v>0.10204108616232266</v>
      </c>
      <c r="W326" s="139">
        <f ca="1"/>
        <v>0</v>
      </c>
      <c r="X326" s="165">
        <f ca="1"/>
        <v>4.9849258692044041E-3</v>
      </c>
      <c r="Y326" s="165">
        <f ca="1"/>
        <v>9.4076196844968818E-3</v>
      </c>
      <c r="Z326" s="165">
        <f ca="1"/>
        <v>1.826925508968158E-2</v>
      </c>
      <c r="AA326" s="165">
        <f ca="1"/>
        <v>2.9647360580837834E-2</v>
      </c>
      <c r="AB326" s="165">
        <f ca="1"/>
        <v>0</v>
      </c>
      <c r="AC326" s="165">
        <f ca="1"/>
        <v>5.2504656096524993E-2</v>
      </c>
      <c r="AD326" s="165">
        <f ca="1"/>
        <v>7.5157270122506614E-2</v>
      </c>
      <c r="AE326" s="140">
        <f ca="1"/>
        <v>0.10685821359386549</v>
      </c>
      <c r="AH326" s="137">
        <v>4.5999999999999999E-3</v>
      </c>
      <c r="AI326" s="137">
        <v>8.8000000000000005E-3</v>
      </c>
      <c r="AJ326" s="137">
        <v>1.7299999999999999E-2</v>
      </c>
      <c r="AK326" s="137">
        <v>2.81E-2</v>
      </c>
      <c r="AM326" s="137">
        <v>4.99E-2</v>
      </c>
      <c r="AN326" s="137">
        <v>7.1599999999999997E-2</v>
      </c>
      <c r="AO326" s="137">
        <v>0.1019</v>
      </c>
      <c r="AQ326" s="137">
        <v>4.8999999999999998E-3</v>
      </c>
      <c r="AR326" s="137">
        <v>9.2999999999999992E-3</v>
      </c>
      <c r="AS326" s="137">
        <v>1.8100000000000002E-2</v>
      </c>
      <c r="AT326" s="137">
        <v>2.9499999999999998E-2</v>
      </c>
      <c r="AV326" s="137">
        <v>5.2400000000000002E-2</v>
      </c>
      <c r="AW326" s="137">
        <v>7.4999999999999997E-2</v>
      </c>
      <c r="AX326" s="137">
        <v>0.1067</v>
      </c>
    </row>
    <row r="327" spans="1:50" s="79" customFormat="1" ht="10.199999999999999" x14ac:dyDescent="0.2">
      <c r="A327" s="97">
        <f t="shared" ca="1" si="6"/>
        <v>316</v>
      </c>
      <c r="B327" s="68" t="s">
        <v>388</v>
      </c>
      <c r="C327" s="98">
        <v>0.4</v>
      </c>
      <c r="D327" s="69" t="s">
        <v>67</v>
      </c>
      <c r="E327" s="138" t="s">
        <v>87</v>
      </c>
      <c r="F327" s="158" t="s">
        <v>87</v>
      </c>
      <c r="G327" s="158">
        <v>1.225E-3</v>
      </c>
      <c r="H327" s="158" t="s">
        <v>87</v>
      </c>
      <c r="I327" s="158">
        <v>2.4499999999999999E-3</v>
      </c>
      <c r="J327" s="158" t="s">
        <v>87</v>
      </c>
      <c r="K327" s="158">
        <v>4.8999999999999998E-3</v>
      </c>
      <c r="L327" s="158">
        <v>5.6350000000000003E-3</v>
      </c>
      <c r="M327" s="158">
        <v>6.3699999999999998E-3</v>
      </c>
      <c r="N327" s="139" cm="1">
        <f t="array" aca="1" ref="N327:AE327" ca="1">IF(OR(B327="",NOT($J$2)),"",GetStripDefaultProbability(A327,B327,Parameter_Date,CDSRollDate,E327:M327,SpreadCurveMaturities,D327,C327,$J$4,$J$6))</f>
        <v>0</v>
      </c>
      <c r="O327" s="165">
        <f ca="1"/>
        <v>0</v>
      </c>
      <c r="P327" s="165">
        <f ca="1"/>
        <v>2.1599491646329128E-3</v>
      </c>
      <c r="Q327" s="165">
        <f ca="1"/>
        <v>0</v>
      </c>
      <c r="R327" s="165">
        <f ca="1"/>
        <v>1.263085325189417E-2</v>
      </c>
      <c r="S327" s="165">
        <f ca="1"/>
        <v>0</v>
      </c>
      <c r="T327" s="165">
        <f ca="1"/>
        <v>4.2681495997860086E-2</v>
      </c>
      <c r="U327" s="165">
        <f ca="1"/>
        <v>6.7860395298329323E-2</v>
      </c>
      <c r="V327" s="140">
        <f ca="1"/>
        <v>0.10813903926284185</v>
      </c>
      <c r="W327" s="139">
        <f ca="1"/>
        <v>0</v>
      </c>
      <c r="X327" s="165">
        <f ca="1"/>
        <v>0</v>
      </c>
      <c r="Y327" s="165">
        <f ca="1"/>
        <v>2.3262419816644231E-3</v>
      </c>
      <c r="Z327" s="165">
        <f ca="1"/>
        <v>0</v>
      </c>
      <c r="AA327" s="165">
        <f ca="1"/>
        <v>1.325360897430794E-2</v>
      </c>
      <c r="AB327" s="165">
        <f ca="1"/>
        <v>0</v>
      </c>
      <c r="AC327" s="165">
        <f ca="1"/>
        <v>4.4770557766180441E-2</v>
      </c>
      <c r="AD327" s="165">
        <f ca="1"/>
        <v>7.115272890484825E-2</v>
      </c>
      <c r="AE327" s="140">
        <f ca="1"/>
        <v>0.1132964843762323</v>
      </c>
      <c r="AI327" s="137">
        <v>2.0999999999999999E-3</v>
      </c>
      <c r="AK327" s="137">
        <v>1.26E-2</v>
      </c>
      <c r="AM327" s="137">
        <v>4.2599999999999999E-2</v>
      </c>
      <c r="AN327" s="137">
        <v>6.7699999999999996E-2</v>
      </c>
      <c r="AO327" s="137">
        <v>0.108</v>
      </c>
      <c r="AR327" s="137">
        <v>2.3E-3</v>
      </c>
      <c r="AT327" s="137">
        <v>1.32E-2</v>
      </c>
      <c r="AV327" s="137">
        <v>4.4600000000000001E-2</v>
      </c>
      <c r="AW327" s="137">
        <v>7.0999999999999994E-2</v>
      </c>
      <c r="AX327" s="137">
        <v>0.11310000000000001</v>
      </c>
    </row>
    <row r="328" spans="1:50" s="79" customFormat="1" ht="10.199999999999999" x14ac:dyDescent="0.2">
      <c r="A328" s="97">
        <f t="shared" ca="1" si="6"/>
        <v>317</v>
      </c>
      <c r="B328" s="68" t="s">
        <v>389</v>
      </c>
      <c r="C328" s="98">
        <v>0.2</v>
      </c>
      <c r="D328" s="69" t="s">
        <v>66</v>
      </c>
      <c r="E328" s="138" t="s">
        <v>87</v>
      </c>
      <c r="F328" s="158">
        <v>9.3999999999999997E-4</v>
      </c>
      <c r="G328" s="158">
        <v>1.01E-3</v>
      </c>
      <c r="H328" s="158">
        <v>2.0100000000000001E-3</v>
      </c>
      <c r="I328" s="158">
        <v>3.0100000000000001E-3</v>
      </c>
      <c r="J328" s="158" t="s">
        <v>87</v>
      </c>
      <c r="K328" s="158">
        <v>4.7999999999999996E-3</v>
      </c>
      <c r="L328" s="158">
        <v>5.4999999999999997E-3</v>
      </c>
      <c r="M328" s="158">
        <v>6.1999999999999998E-3</v>
      </c>
      <c r="N328" s="139" cm="1">
        <f t="array" aca="1" ref="N328:AE328" ca="1">IF(OR(B328="",NOT($J$2)),"",GetStripDefaultProbability(A328,B328,Parameter_Date,CDSRollDate,E328:M328,SpreadCurveMaturities,D328,C328,$J$4,$J$6))</f>
        <v>0</v>
      </c>
      <c r="O328" s="165">
        <f ca="1"/>
        <v>6.5769725406628066E-4</v>
      </c>
      <c r="P328" s="165">
        <f ca="1"/>
        <v>1.3373686604627455E-3</v>
      </c>
      <c r="Q328" s="165">
        <f ca="1"/>
        <v>5.2428593355846598E-3</v>
      </c>
      <c r="R328" s="165">
        <f ca="1"/>
        <v>1.1753591193853663E-2</v>
      </c>
      <c r="S328" s="165">
        <f ca="1"/>
        <v>0</v>
      </c>
      <c r="T328" s="165">
        <f ca="1"/>
        <v>3.1238031911263175E-2</v>
      </c>
      <c r="U328" s="165">
        <f ca="1"/>
        <v>4.9677829234546111E-2</v>
      </c>
      <c r="V328" s="140">
        <f ca="1"/>
        <v>7.9294630208544548E-2</v>
      </c>
      <c r="W328" s="139">
        <f ca="1"/>
        <v>0</v>
      </c>
      <c r="X328" s="165">
        <f ca="1"/>
        <v>7.2763869787850766E-4</v>
      </c>
      <c r="Y328" s="165">
        <f ca="1"/>
        <v>1.462193687649993E-3</v>
      </c>
      <c r="Z328" s="165">
        <f ca="1"/>
        <v>5.4927606719914479E-3</v>
      </c>
      <c r="AA328" s="165">
        <f ca="1"/>
        <v>1.2335949819966885E-2</v>
      </c>
      <c r="AB328" s="165">
        <f ca="1"/>
        <v>0</v>
      </c>
      <c r="AC328" s="165">
        <f ca="1"/>
        <v>3.2776165889142783E-2</v>
      </c>
      <c r="AD328" s="165">
        <f ca="1"/>
        <v>5.2106609693756134E-2</v>
      </c>
      <c r="AE328" s="140">
        <f ca="1"/>
        <v>8.3109923929190588E-2</v>
      </c>
      <c r="AH328" s="137">
        <v>5.9999999999999995E-4</v>
      </c>
      <c r="AI328" s="137">
        <v>1.2999999999999999E-3</v>
      </c>
      <c r="AJ328" s="137">
        <v>5.1999999999999998E-3</v>
      </c>
      <c r="AK328" s="137">
        <v>1.17E-2</v>
      </c>
      <c r="AM328" s="137">
        <v>3.1099999999999999E-2</v>
      </c>
      <c r="AN328" s="137">
        <v>4.9599999999999998E-2</v>
      </c>
      <c r="AO328" s="137">
        <v>7.9200000000000007E-2</v>
      </c>
      <c r="AQ328" s="137">
        <v>6.9999999999999999E-4</v>
      </c>
      <c r="AR328" s="137">
        <v>1.4E-3</v>
      </c>
      <c r="AS328" s="137">
        <v>5.4999999999999997E-3</v>
      </c>
      <c r="AT328" s="137">
        <v>1.23E-2</v>
      </c>
      <c r="AV328" s="137">
        <v>3.27E-2</v>
      </c>
      <c r="AW328" s="137">
        <v>5.1999999999999998E-2</v>
      </c>
      <c r="AX328" s="137">
        <v>8.3000000000000004E-2</v>
      </c>
    </row>
    <row r="329" spans="1:50" s="79" customFormat="1" ht="10.199999999999999" x14ac:dyDescent="0.2">
      <c r="A329" s="97">
        <f t="shared" ca="1" si="6"/>
        <v>318</v>
      </c>
      <c r="B329" s="68" t="s">
        <v>390</v>
      </c>
      <c r="C329" s="98">
        <v>0.2</v>
      </c>
      <c r="D329" s="69" t="s">
        <v>66</v>
      </c>
      <c r="E329" s="138" t="s">
        <v>87</v>
      </c>
      <c r="F329" s="158">
        <v>1.2700000000000001E-3</v>
      </c>
      <c r="G329" s="158">
        <v>1.7899999999999999E-3</v>
      </c>
      <c r="H329" s="158">
        <v>2.5899999999999999E-3</v>
      </c>
      <c r="I329" s="158">
        <v>3.2799999999999999E-3</v>
      </c>
      <c r="J329" s="158" t="s">
        <v>87</v>
      </c>
      <c r="K329" s="158">
        <v>4.5999999999999999E-3</v>
      </c>
      <c r="L329" s="158">
        <v>5.3200000000000001E-3</v>
      </c>
      <c r="M329" s="158">
        <v>5.8999999999999999E-3</v>
      </c>
      <c r="N329" s="139" cm="1">
        <f t="array" aca="1" ref="N329:AE329" ca="1">IF(OR(B329="",NOT($J$2)),"",GetStripDefaultProbability(A329,B329,Parameter_Date,CDSRollDate,E329:M329,SpreadCurveMaturities,D329,C329,$J$4,$J$6))</f>
        <v>0</v>
      </c>
      <c r="O329" s="165">
        <f ca="1"/>
        <v>8.8848859798384971E-4</v>
      </c>
      <c r="P329" s="165">
        <f ca="1"/>
        <v>2.3759691683896689E-3</v>
      </c>
      <c r="Q329" s="165">
        <f ca="1"/>
        <v>6.7277637967430026E-3</v>
      </c>
      <c r="R329" s="165">
        <f ca="1"/>
        <v>1.2715217222285746E-2</v>
      </c>
      <c r="S329" s="165">
        <f ca="1"/>
        <v>0</v>
      </c>
      <c r="T329" s="165">
        <f ca="1"/>
        <v>2.9698000346332187E-2</v>
      </c>
      <c r="U329" s="165">
        <f ca="1"/>
        <v>4.7870504833602112E-2</v>
      </c>
      <c r="V329" s="140">
        <f ca="1"/>
        <v>7.5175548878212206E-2</v>
      </c>
      <c r="W329" s="139">
        <f ca="1"/>
        <v>0</v>
      </c>
      <c r="X329" s="165">
        <f ca="1"/>
        <v>9.5841315500777569E-4</v>
      </c>
      <c r="Y329" s="165">
        <f ca="1"/>
        <v>2.5006643786396054E-3</v>
      </c>
      <c r="Z329" s="165">
        <f ca="1"/>
        <v>7.0492836343931664E-3</v>
      </c>
      <c r="AA329" s="165">
        <f ca="1"/>
        <v>1.3347221603417059E-2</v>
      </c>
      <c r="AB329" s="165">
        <f ca="1"/>
        <v>0</v>
      </c>
      <c r="AC329" s="165">
        <f ca="1"/>
        <v>3.1162498203333611E-2</v>
      </c>
      <c r="AD329" s="165">
        <f ca="1"/>
        <v>5.0213405645626819E-2</v>
      </c>
      <c r="AE329" s="140">
        <f ca="1"/>
        <v>7.8799734755350404E-2</v>
      </c>
      <c r="AH329" s="137">
        <v>8.9999999999999998E-4</v>
      </c>
      <c r="AI329" s="137">
        <v>2.3E-3</v>
      </c>
      <c r="AJ329" s="137">
        <v>6.7000000000000002E-3</v>
      </c>
      <c r="AK329" s="137">
        <v>1.2699999999999999E-2</v>
      </c>
      <c r="AM329" s="137">
        <v>2.9600000000000001E-2</v>
      </c>
      <c r="AN329" s="137">
        <v>4.7800000000000002E-2</v>
      </c>
      <c r="AO329" s="137">
        <v>7.51E-2</v>
      </c>
      <c r="AQ329" s="137">
        <v>8.9999999999999998E-4</v>
      </c>
      <c r="AR329" s="137">
        <v>2.5000000000000001E-3</v>
      </c>
      <c r="AS329" s="137">
        <v>7.0000000000000001E-3</v>
      </c>
      <c r="AT329" s="137">
        <v>1.3299999999999999E-2</v>
      </c>
      <c r="AV329" s="137">
        <v>3.1099999999999999E-2</v>
      </c>
      <c r="AW329" s="137">
        <v>5.0099999999999999E-2</v>
      </c>
      <c r="AX329" s="137">
        <v>7.8700000000000006E-2</v>
      </c>
    </row>
    <row r="330" spans="1:50" s="79" customFormat="1" ht="10.199999999999999" x14ac:dyDescent="0.2">
      <c r="A330" s="97">
        <f t="shared" ca="1" si="6"/>
        <v>319</v>
      </c>
      <c r="B330" s="68" t="s">
        <v>391</v>
      </c>
      <c r="C330" s="98">
        <v>0.2</v>
      </c>
      <c r="D330" s="69" t="s">
        <v>66</v>
      </c>
      <c r="E330" s="138" t="s">
        <v>87</v>
      </c>
      <c r="F330" s="158">
        <v>9.3999999999999997E-4</v>
      </c>
      <c r="G330" s="158">
        <v>1.66E-3</v>
      </c>
      <c r="H330" s="158">
        <v>2.5699999999999998E-3</v>
      </c>
      <c r="I330" s="158">
        <v>3.4299999999999999E-3</v>
      </c>
      <c r="J330" s="158" t="s">
        <v>87</v>
      </c>
      <c r="K330" s="158">
        <v>4.7999999999999996E-3</v>
      </c>
      <c r="L330" s="158">
        <v>5.5700000000000003E-3</v>
      </c>
      <c r="M330" s="158">
        <v>6.1999999999999998E-3</v>
      </c>
      <c r="N330" s="139" cm="1">
        <f t="array" aca="1" ref="N330:AE330" ca="1">IF(OR(B330="",NOT($J$2)),"",GetStripDefaultProbability(A330,B330,Parameter_Date,CDSRollDate,E330:M330,SpreadCurveMaturities,D330,C330,$J$4,$J$6))</f>
        <v>0</v>
      </c>
      <c r="O330" s="165">
        <f ca="1"/>
        <v>6.5769725406628066E-4</v>
      </c>
      <c r="P330" s="165">
        <f ca="1"/>
        <v>2.2077388690360245E-3</v>
      </c>
      <c r="Q330" s="165">
        <f ca="1"/>
        <v>6.6871915134313342E-3</v>
      </c>
      <c r="R330" s="165">
        <f ca="1"/>
        <v>1.3328505730692219E-2</v>
      </c>
      <c r="S330" s="165">
        <f ca="1"/>
        <v>0</v>
      </c>
      <c r="T330" s="165">
        <f ca="1"/>
        <v>3.1006570841375702E-2</v>
      </c>
      <c r="U330" s="165">
        <f ca="1"/>
        <v>5.0124923666733934E-2</v>
      </c>
      <c r="V330" s="140">
        <f ca="1"/>
        <v>7.8967636837429689E-2</v>
      </c>
      <c r="W330" s="139">
        <f ca="1"/>
        <v>0</v>
      </c>
      <c r="X330" s="165">
        <f ca="1"/>
        <v>7.2763869787850766E-4</v>
      </c>
      <c r="Y330" s="165">
        <f ca="1"/>
        <v>2.3324551067469557E-3</v>
      </c>
      <c r="Z330" s="165">
        <f ca="1"/>
        <v>7.0062420029103345E-3</v>
      </c>
      <c r="AA330" s="165">
        <f ca="1"/>
        <v>1.3990357398060982E-2</v>
      </c>
      <c r="AB330" s="165">
        <f ca="1"/>
        <v>0</v>
      </c>
      <c r="AC330" s="165">
        <f ca="1"/>
        <v>3.2534257169953174E-2</v>
      </c>
      <c r="AD330" s="165">
        <f ca="1"/>
        <v>5.2575341129571629E-2</v>
      </c>
      <c r="AE330" s="140">
        <f ca="1"/>
        <v>8.276732051290725E-2</v>
      </c>
      <c r="AH330" s="137">
        <v>5.9999999999999995E-4</v>
      </c>
      <c r="AI330" s="137">
        <v>2.2000000000000001E-3</v>
      </c>
      <c r="AJ330" s="137">
        <v>6.6E-3</v>
      </c>
      <c r="AK330" s="137">
        <v>1.3299999999999999E-2</v>
      </c>
      <c r="AM330" s="137">
        <v>3.09E-2</v>
      </c>
      <c r="AN330" s="137">
        <v>0.05</v>
      </c>
      <c r="AO330" s="137">
        <v>7.8799999999999995E-2</v>
      </c>
      <c r="AQ330" s="137">
        <v>6.9999999999999999E-4</v>
      </c>
      <c r="AR330" s="137">
        <v>2.3E-3</v>
      </c>
      <c r="AS330" s="137">
        <v>7.0000000000000001E-3</v>
      </c>
      <c r="AT330" s="137">
        <v>1.3899999999999999E-2</v>
      </c>
      <c r="AV330" s="137">
        <v>3.2399999999999998E-2</v>
      </c>
      <c r="AW330" s="137">
        <v>5.2499999999999998E-2</v>
      </c>
      <c r="AX330" s="137">
        <v>8.2600000000000007E-2</v>
      </c>
    </row>
    <row r="331" spans="1:50" s="79" customFormat="1" ht="10.199999999999999" x14ac:dyDescent="0.2">
      <c r="A331" s="97">
        <f t="shared" ref="A331:A361" ca="1" si="7">IF(B331="","",A330+1)</f>
        <v>320</v>
      </c>
      <c r="B331" s="68" t="s">
        <v>392</v>
      </c>
      <c r="C331" s="98">
        <v>0.2</v>
      </c>
      <c r="D331" s="69" t="s">
        <v>66</v>
      </c>
      <c r="E331" s="138" t="s">
        <v>87</v>
      </c>
      <c r="F331" s="158">
        <v>1.1100000000000001E-3</v>
      </c>
      <c r="G331" s="158">
        <v>1.73E-3</v>
      </c>
      <c r="H331" s="158">
        <v>2.5899999999999999E-3</v>
      </c>
      <c r="I331" s="158">
        <v>3.3500000000000001E-3</v>
      </c>
      <c r="J331" s="158" t="s">
        <v>87</v>
      </c>
      <c r="K331" s="158">
        <v>4.7999999999999996E-3</v>
      </c>
      <c r="L331" s="158">
        <v>5.5799999999999999E-3</v>
      </c>
      <c r="M331" s="158">
        <v>6.1999999999999998E-3</v>
      </c>
      <c r="N331" s="139" cm="1">
        <f t="array" aca="1" ref="N331:AE331" ca="1">IF(OR(B331="",NOT($J$2)),"",GetStripDefaultProbability(A331,B331,Parameter_Date,CDSRollDate,E331:M331,SpreadCurveMaturities,D331,C331,$J$4,$J$6))</f>
        <v>0</v>
      </c>
      <c r="O331" s="165">
        <f ca="1"/>
        <v>7.7659640609062386E-4</v>
      </c>
      <c r="P331" s="165">
        <f ca="1"/>
        <v>2.2984659822363751E-3</v>
      </c>
      <c r="Q331" s="165">
        <f ca="1"/>
        <v>6.7334751038564677E-3</v>
      </c>
      <c r="R331" s="165">
        <f ca="1"/>
        <v>1.300031603519558E-2</v>
      </c>
      <c r="S331" s="165">
        <f ca="1"/>
        <v>0</v>
      </c>
      <c r="T331" s="165">
        <f ca="1"/>
        <v>3.1021413812935328E-2</v>
      </c>
      <c r="U331" s="165">
        <f ca="1"/>
        <v>5.0236775528588518E-2</v>
      </c>
      <c r="V331" s="140">
        <f ca="1"/>
        <v>7.8968702250252876E-2</v>
      </c>
      <c r="W331" s="139">
        <f ca="1"/>
        <v>0</v>
      </c>
      <c r="X331" s="165">
        <f ca="1"/>
        <v>8.4652917932870331E-4</v>
      </c>
      <c r="Y331" s="165">
        <f ca="1"/>
        <v>2.4231708797786133E-3</v>
      </c>
      <c r="Z331" s="165">
        <f ca="1"/>
        <v>7.0549930927744642E-3</v>
      </c>
      <c r="AA331" s="165">
        <f ca="1"/>
        <v>1.3646191300806465E-2</v>
      </c>
      <c r="AB331" s="165">
        <f ca="1"/>
        <v>0</v>
      </c>
      <c r="AC331" s="165">
        <f ca="1"/>
        <v>3.2550158400359241E-2</v>
      </c>
      <c r="AD331" s="165">
        <f ca="1"/>
        <v>5.269305757266729E-2</v>
      </c>
      <c r="AE331" s="140">
        <f ca="1"/>
        <v>8.2768897234948402E-2</v>
      </c>
      <c r="AH331" s="137">
        <v>8.0000000000000004E-4</v>
      </c>
      <c r="AI331" s="137">
        <v>2.3E-3</v>
      </c>
      <c r="AJ331" s="137">
        <v>6.7000000000000002E-3</v>
      </c>
      <c r="AK331" s="137">
        <v>1.29E-2</v>
      </c>
      <c r="AM331" s="137">
        <v>3.09E-2</v>
      </c>
      <c r="AN331" s="137">
        <v>5.0099999999999999E-2</v>
      </c>
      <c r="AO331" s="137">
        <v>7.8899999999999998E-2</v>
      </c>
      <c r="AQ331" s="137">
        <v>8.0000000000000004E-4</v>
      </c>
      <c r="AR331" s="137">
        <v>2.3999999999999998E-3</v>
      </c>
      <c r="AS331" s="137">
        <v>7.0000000000000001E-3</v>
      </c>
      <c r="AT331" s="137">
        <v>1.3599999999999999E-2</v>
      </c>
      <c r="AV331" s="137">
        <v>3.2500000000000001E-2</v>
      </c>
      <c r="AW331" s="137">
        <v>5.2600000000000001E-2</v>
      </c>
      <c r="AX331" s="137">
        <v>8.2600000000000007E-2</v>
      </c>
    </row>
    <row r="332" spans="1:50" s="79" customFormat="1" ht="10.199999999999999" x14ac:dyDescent="0.2">
      <c r="A332" s="97">
        <f t="shared" ca="1" si="7"/>
        <v>321</v>
      </c>
      <c r="B332" s="68" t="s">
        <v>393</v>
      </c>
      <c r="C332" s="98">
        <v>0.2</v>
      </c>
      <c r="D332" s="69" t="s">
        <v>66</v>
      </c>
      <c r="E332" s="138" t="s">
        <v>87</v>
      </c>
      <c r="F332" s="158">
        <v>1.06E-3</v>
      </c>
      <c r="G332" s="158">
        <v>1.5299999999999999E-3</v>
      </c>
      <c r="H332" s="158">
        <v>2.47E-3</v>
      </c>
      <c r="I332" s="158">
        <v>3.29E-3</v>
      </c>
      <c r="J332" s="158" t="s">
        <v>87</v>
      </c>
      <c r="K332" s="158">
        <v>4.7000000000000002E-3</v>
      </c>
      <c r="L332" s="158">
        <v>5.4200000000000003E-3</v>
      </c>
      <c r="M332" s="158">
        <v>6.0000000000000001E-3</v>
      </c>
      <c r="N332" s="139" cm="1">
        <f t="array" aca="1" ref="N332:AE332" ca="1">IF(OR(B332="",NOT($J$2)),"",GetStripDefaultProbability(A332,B332,Parameter_Date,CDSRollDate,E332:M332,SpreadCurveMaturities,D332,C332,$J$4,$J$6))</f>
        <v>0</v>
      </c>
      <c r="O332" s="165">
        <f ca="1"/>
        <v>7.4162753240369916E-4</v>
      </c>
      <c r="P332" s="165">
        <f ca="1"/>
        <v>2.0315976838969352E-3</v>
      </c>
      <c r="Q332" s="165">
        <f ca="1"/>
        <v>6.4279329103646976E-3</v>
      </c>
      <c r="R332" s="165">
        <f ca="1"/>
        <v>1.2786581743651992E-2</v>
      </c>
      <c r="S332" s="165">
        <f ca="1"/>
        <v>0</v>
      </c>
      <c r="T332" s="165">
        <f ca="1"/>
        <v>3.0396646579759601E-2</v>
      </c>
      <c r="U332" s="165">
        <f ca="1"/>
        <v>4.8799894444340519E-2</v>
      </c>
      <c r="V332" s="140">
        <f ca="1"/>
        <v>7.6433798012898735E-2</v>
      </c>
      <c r="W332" s="139">
        <f ca="1"/>
        <v>0</v>
      </c>
      <c r="X332" s="165">
        <f ca="1"/>
        <v>8.1156286208849959E-4</v>
      </c>
      <c r="Y332" s="165">
        <f ca="1"/>
        <v>2.1563359378855562E-3</v>
      </c>
      <c r="Z332" s="165">
        <f ca="1"/>
        <v>6.7346509340593386E-3</v>
      </c>
      <c r="AA332" s="165">
        <f ca="1"/>
        <v>1.3421391012636286E-2</v>
      </c>
      <c r="AB332" s="165">
        <f ca="1"/>
        <v>0</v>
      </c>
      <c r="AC332" s="165">
        <f ca="1"/>
        <v>3.1894553490777522E-2</v>
      </c>
      <c r="AD332" s="165">
        <f ca="1"/>
        <v>5.1186785707812765E-2</v>
      </c>
      <c r="AE332" s="140">
        <f ca="1"/>
        <v>8.0115713191513671E-2</v>
      </c>
      <c r="AH332" s="137">
        <v>6.9999999999999999E-4</v>
      </c>
      <c r="AI332" s="137">
        <v>2E-3</v>
      </c>
      <c r="AJ332" s="137">
        <v>6.4000000000000003E-3</v>
      </c>
      <c r="AK332" s="137">
        <v>1.2699999999999999E-2</v>
      </c>
      <c r="AM332" s="137">
        <v>3.0300000000000001E-2</v>
      </c>
      <c r="AN332" s="137">
        <v>4.87E-2</v>
      </c>
      <c r="AO332" s="137">
        <v>7.6300000000000007E-2</v>
      </c>
      <c r="AQ332" s="137">
        <v>8.0000000000000004E-4</v>
      </c>
      <c r="AR332" s="137">
        <v>2.0999999999999999E-3</v>
      </c>
      <c r="AS332" s="137">
        <v>6.7000000000000002E-3</v>
      </c>
      <c r="AT332" s="137">
        <v>1.34E-2</v>
      </c>
      <c r="AV332" s="137">
        <v>3.1800000000000002E-2</v>
      </c>
      <c r="AW332" s="137">
        <v>5.11E-2</v>
      </c>
      <c r="AX332" s="137">
        <v>0.08</v>
      </c>
    </row>
    <row r="333" spans="1:50" s="79" customFormat="1" ht="10.199999999999999" x14ac:dyDescent="0.2">
      <c r="A333" s="97">
        <f t="shared" ca="1" si="7"/>
        <v>322</v>
      </c>
      <c r="B333" s="68" t="s">
        <v>112</v>
      </c>
      <c r="C333" s="98">
        <v>0.4</v>
      </c>
      <c r="D333" s="69" t="s">
        <v>66</v>
      </c>
      <c r="E333" s="138" t="s">
        <v>87</v>
      </c>
      <c r="F333" s="158">
        <v>1.15E-3</v>
      </c>
      <c r="G333" s="158">
        <v>1.81E-3</v>
      </c>
      <c r="H333" s="158">
        <v>2.8E-3</v>
      </c>
      <c r="I333" s="158">
        <v>3.5000000000000001E-3</v>
      </c>
      <c r="J333" s="158" t="s">
        <v>87</v>
      </c>
      <c r="K333" s="158">
        <v>4.5999999999999999E-3</v>
      </c>
      <c r="L333" s="158">
        <v>5.1999999999999998E-3</v>
      </c>
      <c r="M333" s="158">
        <v>5.7000000000000002E-3</v>
      </c>
      <c r="N333" s="139" cm="1">
        <f t="array" aca="1" ref="N333:AE333" ca="1">IF(OR(B333="",NOT($J$2)),"",GetStripDefaultProbability(A333,B333,Parameter_Date,CDSRollDate,E333:M333,SpreadCurveMaturities,D333,C333,$J$4,$J$6))</f>
        <v>0</v>
      </c>
      <c r="O333" s="165">
        <f ca="1"/>
        <v>1.0726172827926206E-3</v>
      </c>
      <c r="P333" s="165">
        <f ca="1"/>
        <v>3.2054338385190118E-3</v>
      </c>
      <c r="Q333" s="165">
        <f ca="1"/>
        <v>9.6996966232281157E-3</v>
      </c>
      <c r="R333" s="165">
        <f ca="1"/>
        <v>1.8058171350699093E-2</v>
      </c>
      <c r="S333" s="165">
        <f ca="1"/>
        <v>0</v>
      </c>
      <c r="T333" s="165">
        <f ca="1"/>
        <v>3.9322979205270614E-2</v>
      </c>
      <c r="U333" s="165">
        <f ca="1"/>
        <v>6.175941837545218E-2</v>
      </c>
      <c r="V333" s="140">
        <f ca="1"/>
        <v>9.551476955441518E-2</v>
      </c>
      <c r="W333" s="139">
        <f ca="1"/>
        <v>0</v>
      </c>
      <c r="X333" s="165">
        <f ca="1"/>
        <v>1.1658314747735599E-3</v>
      </c>
      <c r="Y333" s="165">
        <f ca="1"/>
        <v>3.3715524226098914E-3</v>
      </c>
      <c r="Z333" s="165">
        <f ca="1"/>
        <v>1.0181271226311628E-2</v>
      </c>
      <c r="AA333" s="165">
        <f ca="1"/>
        <v>1.8952764495030916E-2</v>
      </c>
      <c r="AB333" s="165">
        <f ca="1"/>
        <v>0</v>
      </c>
      <c r="AC333" s="165">
        <f ca="1"/>
        <v>4.1251639727773903E-2</v>
      </c>
      <c r="AD333" s="165">
        <f ca="1"/>
        <v>6.4759535862833228E-2</v>
      </c>
      <c r="AE333" s="140">
        <f ca="1"/>
        <v>0.10006637955057651</v>
      </c>
      <c r="AH333" s="137">
        <v>1E-3</v>
      </c>
      <c r="AI333" s="137">
        <v>3.2000000000000002E-3</v>
      </c>
      <c r="AJ333" s="137">
        <v>9.5999999999999992E-3</v>
      </c>
      <c r="AK333" s="137">
        <v>1.7999999999999999E-2</v>
      </c>
      <c r="AM333" s="137">
        <v>3.9199999999999999E-2</v>
      </c>
      <c r="AN333" s="137">
        <v>6.1600000000000002E-2</v>
      </c>
      <c r="AO333" s="137">
        <v>9.5399999999999999E-2</v>
      </c>
      <c r="AQ333" s="137">
        <v>1.1000000000000001E-3</v>
      </c>
      <c r="AR333" s="137">
        <v>3.3E-3</v>
      </c>
      <c r="AS333" s="137">
        <v>1.01E-2</v>
      </c>
      <c r="AT333" s="137">
        <v>1.89E-2</v>
      </c>
      <c r="AV333" s="137">
        <v>4.1099999999999998E-2</v>
      </c>
      <c r="AW333" s="137">
        <v>6.4600000000000005E-2</v>
      </c>
      <c r="AX333" s="137">
        <v>9.9900000000000003E-2</v>
      </c>
    </row>
    <row r="334" spans="1:50" s="79" customFormat="1" ht="10.199999999999999" x14ac:dyDescent="0.2">
      <c r="A334" s="97">
        <f t="shared" ca="1" si="7"/>
        <v>323</v>
      </c>
      <c r="B334" s="68" t="s">
        <v>394</v>
      </c>
      <c r="C334" s="98">
        <v>0.2</v>
      </c>
      <c r="D334" s="69" t="s">
        <v>67</v>
      </c>
      <c r="E334" s="138" t="s">
        <v>87</v>
      </c>
      <c r="F334" s="158">
        <v>1.6299999999999999E-3</v>
      </c>
      <c r="G334" s="158">
        <v>1.8400000000000001E-3</v>
      </c>
      <c r="H334" s="158">
        <v>2.2399999999999998E-3</v>
      </c>
      <c r="I334" s="158">
        <v>2.8E-3</v>
      </c>
      <c r="J334" s="158" t="s">
        <v>87</v>
      </c>
      <c r="K334" s="158">
        <v>4.5999999999999999E-3</v>
      </c>
      <c r="L334" s="158">
        <v>4.9399999999999999E-3</v>
      </c>
      <c r="M334" s="158">
        <v>5.4999999999999997E-3</v>
      </c>
      <c r="N334" s="139" cm="1">
        <f t="array" aca="1" ref="N334:AE334" ca="1">IF(OR(B334="",NOT($J$2)),"",GetStripDefaultProbability(A334,B334,Parameter_Date,CDSRollDate,E334:M334,SpreadCurveMaturities,D334,C334,$J$4,$J$6))</f>
        <v>0</v>
      </c>
      <c r="O334" s="165">
        <f ca="1"/>
        <v>1.1402176325079338E-3</v>
      </c>
      <c r="P334" s="165">
        <f ca="1"/>
        <v>2.4365818296725461E-3</v>
      </c>
      <c r="Q334" s="165">
        <f ca="1"/>
        <v>5.7974769047092201E-3</v>
      </c>
      <c r="R334" s="165">
        <f ca="1"/>
        <v>1.0834748655699333E-2</v>
      </c>
      <c r="S334" s="165">
        <f ca="1"/>
        <v>0</v>
      </c>
      <c r="T334" s="165">
        <f ca="1"/>
        <v>2.9932848116896338E-2</v>
      </c>
      <c r="U334" s="165">
        <f ca="1"/>
        <v>4.444772212591408E-2</v>
      </c>
      <c r="V334" s="140">
        <f ca="1"/>
        <v>7.0387630923869904E-2</v>
      </c>
      <c r="W334" s="139">
        <f ca="1"/>
        <v>0</v>
      </c>
      <c r="X334" s="165">
        <f ca="1"/>
        <v>1.2101245674657202E-3</v>
      </c>
      <c r="Y334" s="165">
        <f ca="1"/>
        <v>2.5612694638136313E-3</v>
      </c>
      <c r="Z334" s="165">
        <f ca="1"/>
        <v>6.0758146420730741E-3</v>
      </c>
      <c r="AA334" s="165">
        <f ca="1"/>
        <v>1.1373903835494747E-2</v>
      </c>
      <c r="AB334" s="165">
        <f ca="1"/>
        <v>0</v>
      </c>
      <c r="AC334" s="165">
        <f ca="1"/>
        <v>3.1409317602333564E-2</v>
      </c>
      <c r="AD334" s="165">
        <f ca="1"/>
        <v>4.6626441780796557E-2</v>
      </c>
      <c r="AE334" s="140">
        <f ca="1"/>
        <v>7.3787818541311889E-2</v>
      </c>
      <c r="AH334" s="137">
        <v>1.1000000000000001E-3</v>
      </c>
      <c r="AI334" s="137">
        <v>2.3999999999999998E-3</v>
      </c>
      <c r="AJ334" s="137">
        <v>5.7999999999999996E-3</v>
      </c>
      <c r="AK334" s="137">
        <v>1.0800000000000001E-2</v>
      </c>
      <c r="AM334" s="137">
        <v>2.98E-2</v>
      </c>
      <c r="AN334" s="137">
        <v>4.4400000000000002E-2</v>
      </c>
      <c r="AO334" s="137">
        <v>7.0300000000000001E-2</v>
      </c>
      <c r="AQ334" s="137">
        <v>1.1999999999999999E-3</v>
      </c>
      <c r="AR334" s="137">
        <v>2.5000000000000001E-3</v>
      </c>
      <c r="AS334" s="137">
        <v>6.0000000000000001E-3</v>
      </c>
      <c r="AT334" s="137">
        <v>1.1299999999999999E-2</v>
      </c>
      <c r="AV334" s="137">
        <v>3.1300000000000001E-2</v>
      </c>
      <c r="AW334" s="137">
        <v>4.65E-2</v>
      </c>
      <c r="AX334" s="137">
        <v>7.3700000000000002E-2</v>
      </c>
    </row>
    <row r="335" spans="1:50" s="79" customFormat="1" ht="10.199999999999999" x14ac:dyDescent="0.2">
      <c r="A335" s="97">
        <f t="shared" ca="1" si="7"/>
        <v>324</v>
      </c>
      <c r="B335" s="68" t="s">
        <v>395</v>
      </c>
      <c r="C335" s="98">
        <v>0.4</v>
      </c>
      <c r="D335" s="69" t="s">
        <v>67</v>
      </c>
      <c r="E335" s="138" t="s">
        <v>87</v>
      </c>
      <c r="F335" s="158" t="s">
        <v>87</v>
      </c>
      <c r="G335" s="158">
        <v>1.75E-3</v>
      </c>
      <c r="H335" s="158" t="s">
        <v>87</v>
      </c>
      <c r="I335" s="158">
        <v>3.2499999999999999E-3</v>
      </c>
      <c r="J335" s="158" t="s">
        <v>87</v>
      </c>
      <c r="K335" s="158">
        <v>4.2500000000000003E-3</v>
      </c>
      <c r="L335" s="158">
        <v>4.6499999999999996E-3</v>
      </c>
      <c r="M335" s="158">
        <v>4.9500000000000004E-3</v>
      </c>
      <c r="N335" s="139" cm="1">
        <f t="array" aca="1" ref="N335:AE335" ca="1">IF(OR(B335="",NOT($J$2)),"",GetStripDefaultProbability(A335,B335,Parameter_Date,CDSRollDate,E335:M335,SpreadCurveMaturities,D335,C335,$J$4,$J$6))</f>
        <v>0</v>
      </c>
      <c r="O335" s="165">
        <f ca="1"/>
        <v>0</v>
      </c>
      <c r="P335" s="165">
        <f ca="1"/>
        <v>3.0842240279745914E-3</v>
      </c>
      <c r="Q335" s="165">
        <f ca="1"/>
        <v>0</v>
      </c>
      <c r="R335" s="165">
        <f ca="1"/>
        <v>1.6710167797318487E-2</v>
      </c>
      <c r="S335" s="165">
        <f ca="1"/>
        <v>0</v>
      </c>
      <c r="T335" s="165">
        <f ca="1"/>
        <v>3.6330183412874195E-2</v>
      </c>
      <c r="U335" s="165">
        <f ca="1"/>
        <v>5.5198311081265383E-2</v>
      </c>
      <c r="V335" s="140">
        <f ca="1"/>
        <v>8.2932208055772727E-2</v>
      </c>
      <c r="W335" s="139">
        <f ca="1"/>
        <v>0</v>
      </c>
      <c r="X335" s="165">
        <f ca="1"/>
        <v>0</v>
      </c>
      <c r="Y335" s="165">
        <f ca="1"/>
        <v>3.2503628120066352E-3</v>
      </c>
      <c r="Z335" s="165">
        <f ca="1"/>
        <v>0</v>
      </c>
      <c r="AA335" s="165">
        <f ca="1"/>
        <v>1.7536978450891305E-2</v>
      </c>
      <c r="AB335" s="165">
        <f ca="1"/>
        <v>0</v>
      </c>
      <c r="AC335" s="165">
        <f ca="1"/>
        <v>3.8114133423271523E-2</v>
      </c>
      <c r="AD335" s="165">
        <f ca="1"/>
        <v>5.788645505487211E-2</v>
      </c>
      <c r="AE335" s="140">
        <f ca="1"/>
        <v>8.6905418309227156E-2</v>
      </c>
      <c r="AI335" s="137">
        <v>3.0000000000000001E-3</v>
      </c>
      <c r="AK335" s="137">
        <v>1.66E-2</v>
      </c>
      <c r="AM335" s="137">
        <v>3.6200000000000003E-2</v>
      </c>
      <c r="AN335" s="137">
        <v>5.5100000000000003E-2</v>
      </c>
      <c r="AO335" s="137">
        <v>8.2799999999999999E-2</v>
      </c>
      <c r="AR335" s="137">
        <v>3.2000000000000002E-3</v>
      </c>
      <c r="AT335" s="137">
        <v>1.7500000000000002E-2</v>
      </c>
      <c r="AV335" s="137">
        <v>3.7999999999999999E-2</v>
      </c>
      <c r="AW335" s="137">
        <v>5.7799999999999997E-2</v>
      </c>
      <c r="AX335" s="137">
        <v>8.6800000000000002E-2</v>
      </c>
    </row>
    <row r="336" spans="1:50" s="79" customFormat="1" ht="10.199999999999999" x14ac:dyDescent="0.2">
      <c r="A336" s="97">
        <f t="shared" ca="1" si="7"/>
        <v>325</v>
      </c>
      <c r="B336" s="68" t="s">
        <v>396</v>
      </c>
      <c r="C336" s="98">
        <v>0.2</v>
      </c>
      <c r="D336" s="69" t="s">
        <v>67</v>
      </c>
      <c r="E336" s="138" t="s">
        <v>87</v>
      </c>
      <c r="F336" s="158" t="s">
        <v>87</v>
      </c>
      <c r="G336" s="158">
        <v>1.013E-3</v>
      </c>
      <c r="H336" s="158" t="s">
        <v>87</v>
      </c>
      <c r="I336" s="158">
        <v>2.0270000000000002E-3</v>
      </c>
      <c r="J336" s="158" t="s">
        <v>87</v>
      </c>
      <c r="K336" s="158">
        <v>3.6679999999999998E-3</v>
      </c>
      <c r="L336" s="158">
        <v>4.1850000000000004E-3</v>
      </c>
      <c r="M336" s="158">
        <v>4.7229999999999998E-3</v>
      </c>
      <c r="N336" s="139" cm="1">
        <f t="array" aca="1" ref="N336:AE336" ca="1">IF(OR(B336="",NOT($J$2)),"",GetStripDefaultProbability(A336,B336,Parameter_Date,CDSRollDate,E336:M336,SpreadCurveMaturities,D336,C336,$J$4,$J$6))</f>
        <v>0</v>
      </c>
      <c r="O336" s="165">
        <f ca="1"/>
        <v>0</v>
      </c>
      <c r="P336" s="165">
        <f ca="1"/>
        <v>1.3401551727195704E-3</v>
      </c>
      <c r="Q336" s="165">
        <f ca="1"/>
        <v>0</v>
      </c>
      <c r="R336" s="165">
        <f ca="1"/>
        <v>7.8528855597899128E-3</v>
      </c>
      <c r="S336" s="165">
        <f ca="1"/>
        <v>0</v>
      </c>
      <c r="T336" s="165">
        <f ca="1"/>
        <v>2.4015543924640004E-2</v>
      </c>
      <c r="U336" s="165">
        <f ca="1"/>
        <v>3.8102840273659955E-2</v>
      </c>
      <c r="V336" s="140">
        <f ca="1"/>
        <v>6.1183422123841646E-2</v>
      </c>
      <c r="W336" s="139">
        <f ca="1"/>
        <v>0</v>
      </c>
      <c r="X336" s="165">
        <f ca="1"/>
        <v>0</v>
      </c>
      <c r="Y336" s="165">
        <f ca="1"/>
        <v>1.4649798516355172E-3</v>
      </c>
      <c r="Z336" s="165">
        <f ca="1"/>
        <v>0</v>
      </c>
      <c r="AA336" s="165">
        <f ca="1"/>
        <v>8.229891824955371E-3</v>
      </c>
      <c r="AB336" s="165">
        <f ca="1"/>
        <v>0</v>
      </c>
      <c r="AC336" s="165">
        <f ca="1"/>
        <v>2.5200280310966439E-2</v>
      </c>
      <c r="AD336" s="165">
        <f ca="1"/>
        <v>3.9974092891764457E-2</v>
      </c>
      <c r="AE336" s="140">
        <f ca="1"/>
        <v>6.4152346027131713E-2</v>
      </c>
      <c r="AI336" s="137">
        <v>1.2999999999999999E-3</v>
      </c>
      <c r="AK336" s="137">
        <v>7.7999999999999996E-3</v>
      </c>
      <c r="AM336" s="137">
        <v>2.3900000000000001E-2</v>
      </c>
      <c r="AN336" s="137">
        <v>3.7999999999999999E-2</v>
      </c>
      <c r="AO336" s="137">
        <v>6.1100000000000002E-2</v>
      </c>
      <c r="AR336" s="137">
        <v>1.4E-3</v>
      </c>
      <c r="AT336" s="137">
        <v>8.2000000000000007E-3</v>
      </c>
      <c r="AV336" s="137">
        <v>2.5100000000000001E-2</v>
      </c>
      <c r="AW336" s="137">
        <v>3.9899999999999998E-2</v>
      </c>
      <c r="AX336" s="137">
        <v>6.4100000000000004E-2</v>
      </c>
    </row>
    <row r="337" spans="1:50" s="79" customFormat="1" ht="10.199999999999999" x14ac:dyDescent="0.2">
      <c r="A337" s="97">
        <f t="shared" ca="1" si="7"/>
        <v>326</v>
      </c>
      <c r="B337" s="68" t="s">
        <v>397</v>
      </c>
      <c r="C337" s="98">
        <v>0.2</v>
      </c>
      <c r="D337" s="69" t="s">
        <v>66</v>
      </c>
      <c r="E337" s="138" t="s">
        <v>87</v>
      </c>
      <c r="F337" s="158">
        <v>5.0000000000000001E-4</v>
      </c>
      <c r="G337" s="158">
        <v>1E-3</v>
      </c>
      <c r="H337" s="158">
        <v>1.6000000000000001E-3</v>
      </c>
      <c r="I337" s="158">
        <v>2.2000000000000001E-3</v>
      </c>
      <c r="J337" s="158" t="s">
        <v>87</v>
      </c>
      <c r="K337" s="158">
        <v>3.3E-3</v>
      </c>
      <c r="L337" s="158">
        <v>3.8999999999999998E-3</v>
      </c>
      <c r="M337" s="158">
        <v>4.4999999999999997E-3</v>
      </c>
      <c r="N337" s="139" cm="1">
        <f t="array" aca="1" ref="N337:AE337" ca="1">IF(OR(B337="",NOT($J$2)),"",GetStripDefaultProbability(A337,B337,Parameter_Date,CDSRollDate,E337:M337,SpreadCurveMaturities,D337,C337,$J$4,$J$6))</f>
        <v>0</v>
      </c>
      <c r="O337" s="165">
        <f ca="1"/>
        <v>3.4989271846808112E-4</v>
      </c>
      <c r="P337" s="165">
        <f ca="1"/>
        <v>1.3315516207169642E-3</v>
      </c>
      <c r="Q337" s="165">
        <f ca="1"/>
        <v>4.1703226930849269E-3</v>
      </c>
      <c r="R337" s="165">
        <f ca="1"/>
        <v>8.5749593141668523E-3</v>
      </c>
      <c r="S337" s="165">
        <f ca="1"/>
        <v>0</v>
      </c>
      <c r="T337" s="165">
        <f ca="1"/>
        <v>2.1470691913585194E-2</v>
      </c>
      <c r="U337" s="165">
        <f ca="1"/>
        <v>3.5440365899318427E-2</v>
      </c>
      <c r="V337" s="140">
        <f ca="1"/>
        <v>5.8278535084808958E-2</v>
      </c>
      <c r="W337" s="139">
        <f ca="1"/>
        <v>0</v>
      </c>
      <c r="X337" s="165">
        <f ca="1"/>
        <v>4.1985632642504989E-4</v>
      </c>
      <c r="Y337" s="165">
        <f ca="1"/>
        <v>1.4563773749985964E-3</v>
      </c>
      <c r="Z337" s="165">
        <f ca="1"/>
        <v>4.419248995335745E-3</v>
      </c>
      <c r="AA337" s="165">
        <f ca="1"/>
        <v>8.9838378064461821E-3</v>
      </c>
      <c r="AB337" s="165">
        <f ca="1"/>
        <v>0</v>
      </c>
      <c r="AC337" s="165">
        <f ca="1"/>
        <v>2.2529457644639428E-2</v>
      </c>
      <c r="AD337" s="165">
        <f ca="1"/>
        <v>3.7181107731160346E-2</v>
      </c>
      <c r="AE337" s="140">
        <f ca="1"/>
        <v>6.1110086392760832E-2</v>
      </c>
      <c r="AH337" s="137">
        <v>2.9999999999999997E-4</v>
      </c>
      <c r="AI337" s="137">
        <v>1.2999999999999999E-3</v>
      </c>
      <c r="AJ337" s="137">
        <v>4.1000000000000003E-3</v>
      </c>
      <c r="AK337" s="137">
        <v>8.5000000000000006E-3</v>
      </c>
      <c r="AM337" s="137">
        <v>2.1399999999999999E-2</v>
      </c>
      <c r="AN337" s="137">
        <v>3.5400000000000001E-2</v>
      </c>
      <c r="AO337" s="137">
        <v>5.8200000000000002E-2</v>
      </c>
      <c r="AQ337" s="137">
        <v>4.0000000000000002E-4</v>
      </c>
      <c r="AR337" s="137">
        <v>1.4E-3</v>
      </c>
      <c r="AS337" s="137">
        <v>4.4000000000000003E-3</v>
      </c>
      <c r="AT337" s="137">
        <v>8.8999999999999999E-3</v>
      </c>
      <c r="AV337" s="137">
        <v>2.2499999999999999E-2</v>
      </c>
      <c r="AW337" s="137">
        <v>3.7100000000000001E-2</v>
      </c>
      <c r="AX337" s="137">
        <v>6.0999999999999999E-2</v>
      </c>
    </row>
    <row r="338" spans="1:50" s="79" customFormat="1" ht="10.199999999999999" x14ac:dyDescent="0.2">
      <c r="A338" s="97">
        <f t="shared" ca="1" si="7"/>
        <v>327</v>
      </c>
      <c r="B338" s="68" t="s">
        <v>398</v>
      </c>
      <c r="C338" s="98">
        <v>0.4</v>
      </c>
      <c r="D338" s="69" t="s">
        <v>67</v>
      </c>
      <c r="E338" s="138" t="s">
        <v>87</v>
      </c>
      <c r="F338" s="158" t="s">
        <v>87</v>
      </c>
      <c r="G338" s="158">
        <v>1.3649999999999999E-3</v>
      </c>
      <c r="H338" s="158" t="s">
        <v>87</v>
      </c>
      <c r="I338" s="158">
        <v>3.6960000000000001E-3</v>
      </c>
      <c r="J338" s="158" t="s">
        <v>87</v>
      </c>
      <c r="K338" s="158">
        <v>4.3E-3</v>
      </c>
      <c r="L338" s="158">
        <v>4.3499999999999997E-3</v>
      </c>
      <c r="M338" s="158">
        <v>4.4000000000000003E-3</v>
      </c>
      <c r="N338" s="139" cm="1">
        <f t="array" aca="1" ref="N338:AE338" ca="1">IF(OR(B338="",NOT($J$2)),"",GetStripDefaultProbability(A338,B338,Parameter_Date,CDSRollDate,E338:M338,SpreadCurveMaturities,D338,C338,$J$4,$J$6))</f>
        <v>0</v>
      </c>
      <c r="O338" s="165">
        <f ca="1"/>
        <v>0</v>
      </c>
      <c r="P338" s="165">
        <f ca="1"/>
        <v>2.4065055300938054E-3</v>
      </c>
      <c r="Q338" s="165">
        <f ca="1"/>
        <v>0</v>
      </c>
      <c r="R338" s="165">
        <f ca="1"/>
        <v>1.9071843674596578E-2</v>
      </c>
      <c r="S338" s="165">
        <f ca="1"/>
        <v>0</v>
      </c>
      <c r="T338" s="165">
        <f ca="1"/>
        <v>3.656828985910332E-2</v>
      </c>
      <c r="U338" s="165">
        <f ca="1"/>
        <v>5.1019634388682067E-2</v>
      </c>
      <c r="V338" s="140">
        <f ca="1"/>
        <v>7.2577453568289596E-2</v>
      </c>
      <c r="W338" s="139">
        <f ca="1"/>
        <v>0</v>
      </c>
      <c r="X338" s="165">
        <f ca="1"/>
        <v>0</v>
      </c>
      <c r="Y338" s="165">
        <f ca="1"/>
        <v>2.5727572578150282E-3</v>
      </c>
      <c r="Z338" s="165">
        <f ca="1"/>
        <v>0</v>
      </c>
      <c r="AA338" s="165">
        <f ca="1"/>
        <v>2.0011925643612205E-2</v>
      </c>
      <c r="AB338" s="165">
        <f ca="1"/>
        <v>0</v>
      </c>
      <c r="AC338" s="165">
        <f ca="1"/>
        <v>3.8360626358663108E-2</v>
      </c>
      <c r="AD338" s="165">
        <f ca="1"/>
        <v>5.3502566031936594E-2</v>
      </c>
      <c r="AE338" s="140">
        <f ca="1"/>
        <v>7.6062539083678216E-2</v>
      </c>
      <c r="AI338" s="137">
        <v>2.3999999999999998E-3</v>
      </c>
      <c r="AK338" s="137">
        <v>1.9E-2</v>
      </c>
      <c r="AM338" s="137">
        <v>3.6499999999999998E-2</v>
      </c>
      <c r="AN338" s="137">
        <v>5.0900000000000001E-2</v>
      </c>
      <c r="AO338" s="137">
        <v>7.2499999999999995E-2</v>
      </c>
      <c r="AR338" s="137">
        <v>2.5000000000000001E-3</v>
      </c>
      <c r="AT338" s="137">
        <v>1.9900000000000001E-2</v>
      </c>
      <c r="AV338" s="137">
        <v>3.8300000000000001E-2</v>
      </c>
      <c r="AW338" s="137">
        <v>5.3400000000000003E-2</v>
      </c>
      <c r="AX338" s="137">
        <v>7.5999999999999998E-2</v>
      </c>
    </row>
    <row r="339" spans="1:50" s="79" customFormat="1" ht="10.199999999999999" x14ac:dyDescent="0.2">
      <c r="A339" s="97">
        <f t="shared" ca="1" si="7"/>
        <v>328</v>
      </c>
      <c r="B339" s="68" t="s">
        <v>399</v>
      </c>
      <c r="C339" s="98">
        <v>0.2</v>
      </c>
      <c r="D339" s="69" t="s">
        <v>67</v>
      </c>
      <c r="E339" s="138" t="s">
        <v>87</v>
      </c>
      <c r="F339" s="158" t="s">
        <v>87</v>
      </c>
      <c r="G339" s="158">
        <v>1.029E-3</v>
      </c>
      <c r="H339" s="158" t="s">
        <v>87</v>
      </c>
      <c r="I339" s="158">
        <v>2.5209999999999998E-3</v>
      </c>
      <c r="J339" s="158" t="s">
        <v>87</v>
      </c>
      <c r="K339" s="158">
        <v>3.5500000000000002E-3</v>
      </c>
      <c r="L339" s="158">
        <v>3.5500000000000002E-3</v>
      </c>
      <c r="M339" s="158">
        <v>3.9500000000000004E-3</v>
      </c>
      <c r="N339" s="139" cm="1">
        <f t="array" aca="1" ref="N339:AE339" ca="1">IF(OR(B339="",NOT($J$2)),"",GetStripDefaultProbability(A339,B339,Parameter_Date,CDSRollDate,E339:M339,SpreadCurveMaturities,D339,C339,$J$4,$J$6))</f>
        <v>0</v>
      </c>
      <c r="O339" s="165">
        <f ca="1"/>
        <v>0</v>
      </c>
      <c r="P339" s="165">
        <f ca="1"/>
        <v>1.3613081726169263E-3</v>
      </c>
      <c r="Q339" s="165">
        <f ca="1"/>
        <v>0</v>
      </c>
      <c r="R339" s="165">
        <f ca="1"/>
        <v>9.7817535100271913E-3</v>
      </c>
      <c r="S339" s="165">
        <f ca="1"/>
        <v>0</v>
      </c>
      <c r="T339" s="165">
        <f ca="1"/>
        <v>2.3008484802424678E-2</v>
      </c>
      <c r="U339" s="165">
        <f ca="1"/>
        <v>3.169590988851434E-2</v>
      </c>
      <c r="V339" s="140">
        <f ca="1"/>
        <v>5.05603905724612E-2</v>
      </c>
      <c r="W339" s="139">
        <f ca="1"/>
        <v>0</v>
      </c>
      <c r="X339" s="165">
        <f ca="1"/>
        <v>0</v>
      </c>
      <c r="Y339" s="165">
        <f ca="1"/>
        <v>1.48613020756172E-3</v>
      </c>
      <c r="Z339" s="165">
        <f ca="1"/>
        <v>0</v>
      </c>
      <c r="AA339" s="165">
        <f ca="1"/>
        <v>1.0264060573708544E-2</v>
      </c>
      <c r="AB339" s="165">
        <f ca="1"/>
        <v>0</v>
      </c>
      <c r="AC339" s="165">
        <f ca="1"/>
        <v>2.4142475119282358E-2</v>
      </c>
      <c r="AD339" s="165">
        <f ca="1"/>
        <v>3.325273989172306E-2</v>
      </c>
      <c r="AE339" s="140">
        <f ca="1"/>
        <v>5.3020863056063572E-2</v>
      </c>
      <c r="AI339" s="137">
        <v>1.2999999999999999E-3</v>
      </c>
      <c r="AK339" s="137">
        <v>9.7000000000000003E-3</v>
      </c>
      <c r="AM339" s="137">
        <v>2.29E-2</v>
      </c>
      <c r="AN339" s="137">
        <v>3.1600000000000003E-2</v>
      </c>
      <c r="AO339" s="137">
        <v>5.0500000000000003E-2</v>
      </c>
      <c r="AR339" s="137">
        <v>1.5E-3</v>
      </c>
      <c r="AT339" s="137">
        <v>1.0200000000000001E-2</v>
      </c>
      <c r="AV339" s="137">
        <v>2.41E-2</v>
      </c>
      <c r="AW339" s="137">
        <v>3.32E-2</v>
      </c>
      <c r="AX339" s="137">
        <v>5.2900000000000003E-2</v>
      </c>
    </row>
    <row r="340" spans="1:50" s="79" customFormat="1" ht="10.199999999999999" x14ac:dyDescent="0.2">
      <c r="A340" s="97">
        <f t="shared" ca="1" si="7"/>
        <v>329</v>
      </c>
      <c r="B340" s="68" t="s">
        <v>400</v>
      </c>
      <c r="C340" s="98">
        <v>0.2</v>
      </c>
      <c r="D340" s="69" t="s">
        <v>67</v>
      </c>
      <c r="E340" s="138" t="s">
        <v>87</v>
      </c>
      <c r="F340" s="158" t="s">
        <v>87</v>
      </c>
      <c r="G340" s="158">
        <v>6.6299999999999996E-4</v>
      </c>
      <c r="H340" s="158" t="s">
        <v>87</v>
      </c>
      <c r="I340" s="158">
        <v>1.534E-3</v>
      </c>
      <c r="J340" s="158" t="s">
        <v>87</v>
      </c>
      <c r="K340" s="158">
        <v>2.65E-3</v>
      </c>
      <c r="L340" s="158">
        <v>3.4399999999999999E-3</v>
      </c>
      <c r="M340" s="158">
        <v>4.2770000000000004E-3</v>
      </c>
      <c r="N340" s="139" cm="1">
        <f t="array" aca="1" ref="N340:AE340" ca="1">IF(OR(B340="",NOT($J$2)),"",GetStripDefaultProbability(A340,B340,Parameter_Date,CDSRollDate,E340:M340,SpreadCurveMaturities,D340,C340,$J$4,$J$6))</f>
        <v>0</v>
      </c>
      <c r="O340" s="165">
        <f ca="1"/>
        <v>0</v>
      </c>
      <c r="P340" s="165">
        <f ca="1"/>
        <v>8.7732202415702343E-4</v>
      </c>
      <c r="Q340" s="165">
        <f ca="1"/>
        <v>0</v>
      </c>
      <c r="R340" s="165">
        <f ca="1"/>
        <v>5.957436768823765E-3</v>
      </c>
      <c r="S340" s="165">
        <f ca="1"/>
        <v>0</v>
      </c>
      <c r="T340" s="165">
        <f ca="1"/>
        <v>1.7367067770142297E-2</v>
      </c>
      <c r="U340" s="165">
        <f ca="1"/>
        <v>3.1759134588584148E-2</v>
      </c>
      <c r="V340" s="140">
        <f ca="1"/>
        <v>5.675237535211608E-2</v>
      </c>
      <c r="W340" s="139">
        <f ca="1"/>
        <v>0</v>
      </c>
      <c r="X340" s="165">
        <f ca="1"/>
        <v>0</v>
      </c>
      <c r="Y340" s="165">
        <f ca="1"/>
        <v>1.0022045535635904E-3</v>
      </c>
      <c r="Z340" s="165">
        <f ca="1"/>
        <v>0</v>
      </c>
      <c r="AA340" s="165">
        <f ca="1"/>
        <v>6.3301328451397243E-3</v>
      </c>
      <c r="AB340" s="165">
        <f ca="1"/>
        <v>0</v>
      </c>
      <c r="AC340" s="165">
        <f ca="1"/>
        <v>1.8214179068549607E-2</v>
      </c>
      <c r="AD340" s="165">
        <f ca="1"/>
        <v>3.3312027683219725E-2</v>
      </c>
      <c r="AE340" s="140">
        <f ca="1"/>
        <v>5.9504831892841947E-2</v>
      </c>
      <c r="AI340" s="137">
        <v>8.9999999999999998E-4</v>
      </c>
      <c r="AK340" s="137">
        <v>5.8999999999999999E-3</v>
      </c>
      <c r="AM340" s="137">
        <v>1.7299999999999999E-2</v>
      </c>
      <c r="AN340" s="137">
        <v>3.1699999999999999E-2</v>
      </c>
      <c r="AO340" s="137">
        <v>5.67E-2</v>
      </c>
      <c r="AR340" s="137">
        <v>1E-3</v>
      </c>
      <c r="AT340" s="137">
        <v>6.3E-3</v>
      </c>
      <c r="AV340" s="137">
        <v>1.8200000000000001E-2</v>
      </c>
      <c r="AW340" s="137">
        <v>3.32E-2</v>
      </c>
      <c r="AX340" s="137">
        <v>5.9400000000000001E-2</v>
      </c>
    </row>
    <row r="341" spans="1:50" s="79" customFormat="1" ht="10.199999999999999" x14ac:dyDescent="0.2">
      <c r="A341" s="97">
        <f t="shared" ca="1" si="7"/>
        <v>330</v>
      </c>
      <c r="B341" s="68" t="s">
        <v>401</v>
      </c>
      <c r="C341" s="98">
        <v>0.4</v>
      </c>
      <c r="D341" s="69" t="s">
        <v>66</v>
      </c>
      <c r="E341" s="138" t="s">
        <v>87</v>
      </c>
      <c r="F341" s="158">
        <v>5.0000000000000001E-4</v>
      </c>
      <c r="G341" s="158">
        <v>6.9999999999999999E-4</v>
      </c>
      <c r="H341" s="158">
        <v>1.1000000000000001E-3</v>
      </c>
      <c r="I341" s="158">
        <v>1.6000000000000001E-3</v>
      </c>
      <c r="J341" s="158" t="s">
        <v>87</v>
      </c>
      <c r="K341" s="158">
        <v>2.5999999999999999E-3</v>
      </c>
      <c r="L341" s="158">
        <v>3.3E-3</v>
      </c>
      <c r="M341" s="158">
        <v>4.1000000000000003E-3</v>
      </c>
      <c r="N341" s="139" cm="1">
        <f t="array" aca="1" ref="N341:AE341" ca="1">IF(OR(B341="",NOT($J$2)),"",GetStripDefaultProbability(A341,B341,Parameter_Date,CDSRollDate,E341:M341,SpreadCurveMaturities,D341,C341,$J$4,$J$6))</f>
        <v>0</v>
      </c>
      <c r="O341" s="165">
        <f ca="1"/>
        <v>4.6649647376628689E-4</v>
      </c>
      <c r="P341" s="165">
        <f ca="1"/>
        <v>1.2393840374057552E-3</v>
      </c>
      <c r="Q341" s="165">
        <f ca="1"/>
        <v>3.8189018326942881E-3</v>
      </c>
      <c r="R341" s="165">
        <f ca="1"/>
        <v>8.3247764833102034E-3</v>
      </c>
      <c r="S341" s="165">
        <f ca="1"/>
        <v>0</v>
      </c>
      <c r="T341" s="165">
        <f ca="1"/>
        <v>2.2628284397083198E-2</v>
      </c>
      <c r="U341" s="165">
        <f ca="1"/>
        <v>4.0247869398812197E-2</v>
      </c>
      <c r="V341" s="140">
        <f ca="1"/>
        <v>7.152097517879652E-2</v>
      </c>
      <c r="W341" s="139">
        <f ca="1"/>
        <v>0</v>
      </c>
      <c r="X341" s="165">
        <f ca="1"/>
        <v>5.5976917815403482E-4</v>
      </c>
      <c r="Y341" s="165">
        <f ca="1"/>
        <v>1.4058302691598579E-3</v>
      </c>
      <c r="Z341" s="165">
        <f ca="1"/>
        <v>4.1509068615025457E-3</v>
      </c>
      <c r="AA341" s="165">
        <f ca="1"/>
        <v>8.8204901563130322E-3</v>
      </c>
      <c r="AB341" s="165">
        <f ca="1"/>
        <v>0</v>
      </c>
      <c r="AC341" s="165">
        <f ca="1"/>
        <v>2.3729213052878784E-2</v>
      </c>
      <c r="AD341" s="165">
        <f ca="1"/>
        <v>4.2207707833179398E-2</v>
      </c>
      <c r="AE341" s="140">
        <f ca="1"/>
        <v>7.4964983967104937E-2</v>
      </c>
      <c r="AH341" s="137">
        <v>5.0000000000000001E-4</v>
      </c>
      <c r="AI341" s="137">
        <v>1.1999999999999999E-3</v>
      </c>
      <c r="AJ341" s="137">
        <v>3.8E-3</v>
      </c>
      <c r="AK341" s="137">
        <v>8.3000000000000001E-3</v>
      </c>
      <c r="AM341" s="137">
        <v>2.2599999999999999E-2</v>
      </c>
      <c r="AN341" s="137">
        <v>4.02E-2</v>
      </c>
      <c r="AO341" s="137">
        <v>7.1400000000000005E-2</v>
      </c>
      <c r="AQ341" s="137">
        <v>5.0000000000000001E-4</v>
      </c>
      <c r="AR341" s="137">
        <v>1.4E-3</v>
      </c>
      <c r="AS341" s="137">
        <v>4.1000000000000003E-3</v>
      </c>
      <c r="AT341" s="137">
        <v>8.8000000000000005E-3</v>
      </c>
      <c r="AV341" s="137">
        <v>2.3699999999999999E-2</v>
      </c>
      <c r="AW341" s="137">
        <v>4.2099999999999999E-2</v>
      </c>
      <c r="AX341" s="137">
        <v>7.4800000000000005E-2</v>
      </c>
    </row>
    <row r="342" spans="1:50" s="79" customFormat="1" ht="10.199999999999999" x14ac:dyDescent="0.2">
      <c r="A342" s="97">
        <f t="shared" ca="1" si="7"/>
        <v>331</v>
      </c>
      <c r="B342" s="68" t="s">
        <v>402</v>
      </c>
      <c r="C342" s="98">
        <v>0.4</v>
      </c>
      <c r="D342" s="69" t="s">
        <v>66</v>
      </c>
      <c r="E342" s="138" t="s">
        <v>87</v>
      </c>
      <c r="F342" s="158">
        <v>8.0000000000000004E-4</v>
      </c>
      <c r="G342" s="158">
        <v>1.2700000000000001E-3</v>
      </c>
      <c r="H342" s="158">
        <v>1.8699999999999999E-3</v>
      </c>
      <c r="I342" s="158">
        <v>2.3E-3</v>
      </c>
      <c r="J342" s="158" t="s">
        <v>87</v>
      </c>
      <c r="K342" s="158">
        <v>2.8E-3</v>
      </c>
      <c r="L342" s="158">
        <v>3.2000000000000002E-3</v>
      </c>
      <c r="M342" s="158">
        <v>3.7000000000000002E-3</v>
      </c>
      <c r="N342" s="139" cm="1">
        <f t="array" aca="1" ref="N342:AE342" ca="1">IF(OR(B342="",NOT($J$2)),"",GetStripDefaultProbability(A342,B342,Parameter_Date,CDSRollDate,E342:M342,SpreadCurveMaturities,D342,C342,$J$4,$J$6))</f>
        <v>0</v>
      </c>
      <c r="O342" s="165">
        <f ca="1"/>
        <v>7.4629011945415158E-4</v>
      </c>
      <c r="P342" s="165">
        <f ca="1"/>
        <v>2.2501424515201096E-3</v>
      </c>
      <c r="Q342" s="165">
        <f ca="1"/>
        <v>6.4815171559188256E-3</v>
      </c>
      <c r="R342" s="165">
        <f ca="1"/>
        <v>1.188429624731302E-2</v>
      </c>
      <c r="S342" s="165">
        <f ca="1"/>
        <v>0</v>
      </c>
      <c r="T342" s="165">
        <f ca="1"/>
        <v>2.3973225784868046E-2</v>
      </c>
      <c r="U342" s="165">
        <f ca="1"/>
        <v>3.8311215499186146E-2</v>
      </c>
      <c r="V342" s="140">
        <f ca="1"/>
        <v>6.3356331726122428E-2</v>
      </c>
      <c r="W342" s="139">
        <f ca="1"/>
        <v>0</v>
      </c>
      <c r="X342" s="165">
        <f ca="1"/>
        <v>8.3953601351138829E-4</v>
      </c>
      <c r="Y342" s="165">
        <f ca="1"/>
        <v>2.4164202375785981E-3</v>
      </c>
      <c r="Z342" s="165">
        <f ca="1"/>
        <v>6.8126347941803722E-3</v>
      </c>
      <c r="AA342" s="165">
        <f ca="1"/>
        <v>1.2471474494834767E-2</v>
      </c>
      <c r="AB342" s="165">
        <f ca="1"/>
        <v>0</v>
      </c>
      <c r="AC342" s="165">
        <f ca="1"/>
        <v>2.5154207500508341E-2</v>
      </c>
      <c r="AD342" s="165">
        <f ca="1"/>
        <v>4.0189278281807406E-2</v>
      </c>
      <c r="AE342" s="140">
        <f ca="1"/>
        <v>6.6425038666900971E-2</v>
      </c>
      <c r="AH342" s="137">
        <v>6.9999999999999999E-4</v>
      </c>
      <c r="AI342" s="137">
        <v>2.2000000000000001E-3</v>
      </c>
      <c r="AJ342" s="137">
        <v>6.4000000000000003E-3</v>
      </c>
      <c r="AK342" s="137">
        <v>1.18E-2</v>
      </c>
      <c r="AM342" s="137">
        <v>2.3900000000000001E-2</v>
      </c>
      <c r="AN342" s="137">
        <v>3.8199999999999998E-2</v>
      </c>
      <c r="AO342" s="137">
        <v>6.3299999999999995E-2</v>
      </c>
      <c r="AQ342" s="137">
        <v>8.0000000000000004E-4</v>
      </c>
      <c r="AR342" s="137">
        <v>2.3999999999999998E-3</v>
      </c>
      <c r="AS342" s="137">
        <v>6.7999999999999996E-3</v>
      </c>
      <c r="AT342" s="137">
        <v>1.24E-2</v>
      </c>
      <c r="AV342" s="137">
        <v>2.5100000000000001E-2</v>
      </c>
      <c r="AW342" s="137">
        <v>4.0099999999999997E-2</v>
      </c>
      <c r="AX342" s="137">
        <v>6.6299999999999998E-2</v>
      </c>
    </row>
    <row r="343" spans="1:50" s="79" customFormat="1" ht="10.199999999999999" x14ac:dyDescent="0.2">
      <c r="A343" s="97">
        <f t="shared" ca="1" si="7"/>
        <v>332</v>
      </c>
      <c r="B343" s="68" t="s">
        <v>403</v>
      </c>
      <c r="C343" s="98">
        <v>0.2</v>
      </c>
      <c r="D343" s="69" t="s">
        <v>67</v>
      </c>
      <c r="E343" s="138" t="s">
        <v>87</v>
      </c>
      <c r="F343" s="158" t="s">
        <v>87</v>
      </c>
      <c r="G343" s="158">
        <v>1.683E-3</v>
      </c>
      <c r="H343" s="158" t="s">
        <v>87</v>
      </c>
      <c r="I343" s="158">
        <v>3.1979999999999999E-3</v>
      </c>
      <c r="J343" s="158" t="s">
        <v>87</v>
      </c>
      <c r="K343" s="158">
        <v>5.0499999999999998E-3</v>
      </c>
      <c r="L343" s="158">
        <v>6.9020000000000001E-3</v>
      </c>
      <c r="M343" s="158">
        <v>6.8859999999999998E-3</v>
      </c>
      <c r="N343" s="139" cm="1">
        <f t="array" aca="1" ref="N343:AE343" ca="1">IF(OR(B343="",NOT($J$2)),"",GetStripDefaultProbability(A343,B343,Parameter_Date,CDSRollDate,E343:M343,SpreadCurveMaturities,D343,C343,$J$4,$J$6))</f>
        <v>0</v>
      </c>
      <c r="O343" s="165">
        <f ca="1"/>
        <v>0</v>
      </c>
      <c r="P343" s="165">
        <f ca="1"/>
        <v>2.2255566702360507E-3</v>
      </c>
      <c r="Q343" s="165">
        <f ca="1"/>
        <v>0</v>
      </c>
      <c r="R343" s="165">
        <f ca="1"/>
        <v>1.235831551205635E-2</v>
      </c>
      <c r="S343" s="165">
        <f ca="1"/>
        <v>0</v>
      </c>
      <c r="T343" s="165">
        <f ca="1"/>
        <v>3.2757188223875966E-2</v>
      </c>
      <c r="U343" s="165">
        <f ca="1"/>
        <v>6.31580885452796E-2</v>
      </c>
      <c r="V343" s="140">
        <f ca="1"/>
        <v>8.7048319964139309E-2</v>
      </c>
      <c r="W343" s="139">
        <f ca="1"/>
        <v>0</v>
      </c>
      <c r="X343" s="165">
        <f ca="1"/>
        <v>0</v>
      </c>
      <c r="Y343" s="165">
        <f ca="1"/>
        <v>2.3502706808613549E-3</v>
      </c>
      <c r="Z343" s="165">
        <f ca="1"/>
        <v>0</v>
      </c>
      <c r="AA343" s="165">
        <f ca="1"/>
        <v>1.2971008265768136E-2</v>
      </c>
      <c r="AB343" s="165">
        <f ca="1"/>
        <v>0</v>
      </c>
      <c r="AC343" s="165">
        <f ca="1"/>
        <v>3.4369510576436113E-2</v>
      </c>
      <c r="AD343" s="165">
        <f ca="1"/>
        <v>6.623332034166951E-2</v>
      </c>
      <c r="AE343" s="140">
        <f ca="1"/>
        <v>9.1220851170783934E-2</v>
      </c>
      <c r="AI343" s="137">
        <v>2.2000000000000001E-3</v>
      </c>
      <c r="AK343" s="137">
        <v>1.23E-2</v>
      </c>
      <c r="AM343" s="137">
        <v>3.27E-2</v>
      </c>
      <c r="AN343" s="137">
        <v>6.3E-2</v>
      </c>
      <c r="AO343" s="137">
        <v>8.6900000000000005E-2</v>
      </c>
      <c r="AR343" s="137">
        <v>2.3E-3</v>
      </c>
      <c r="AT343" s="137">
        <v>1.29E-2</v>
      </c>
      <c r="AV343" s="137">
        <v>3.4299999999999997E-2</v>
      </c>
      <c r="AW343" s="137">
        <v>6.6100000000000006E-2</v>
      </c>
      <c r="AX343" s="137">
        <v>9.11E-2</v>
      </c>
    </row>
    <row r="344" spans="1:50" s="79" customFormat="1" ht="10.199999999999999" x14ac:dyDescent="0.2">
      <c r="A344" s="97">
        <f t="shared" ca="1" si="7"/>
        <v>333</v>
      </c>
      <c r="B344" s="68" t="s">
        <v>404</v>
      </c>
      <c r="C344" s="98">
        <v>0.2</v>
      </c>
      <c r="D344" s="69" t="s">
        <v>67</v>
      </c>
      <c r="E344" s="138" t="s">
        <v>87</v>
      </c>
      <c r="F344" s="158" t="s">
        <v>87</v>
      </c>
      <c r="G344" s="158">
        <v>2.872E-3</v>
      </c>
      <c r="H344" s="158" t="s">
        <v>87</v>
      </c>
      <c r="I344" s="158">
        <v>4.6160000000000003E-3</v>
      </c>
      <c r="J344" s="158" t="s">
        <v>87</v>
      </c>
      <c r="K344" s="158">
        <v>5.9500000000000004E-3</v>
      </c>
      <c r="L344" s="158">
        <v>6.3600000000000002E-3</v>
      </c>
      <c r="M344" s="158">
        <v>7.1809999999999999E-3</v>
      </c>
      <c r="N344" s="139" cm="1">
        <f t="array" aca="1" ref="N344:AE344" ca="1">IF(OR(B344="",NOT($J$2)),"",GetStripDefaultProbability(A344,B344,Parameter_Date,CDSRollDate,E344:M344,SpreadCurveMaturities,D344,C344,$J$4,$J$6))</f>
        <v>0</v>
      </c>
      <c r="O344" s="165">
        <f ca="1"/>
        <v>0</v>
      </c>
      <c r="P344" s="165">
        <f ca="1"/>
        <v>3.79489751869444E-3</v>
      </c>
      <c r="Q344" s="165">
        <f ca="1"/>
        <v>0</v>
      </c>
      <c r="R344" s="165">
        <f ca="1"/>
        <v>1.7752385075504917E-2</v>
      </c>
      <c r="S344" s="165">
        <f ca="1"/>
        <v>0</v>
      </c>
      <c r="T344" s="165">
        <f ca="1"/>
        <v>3.8045606187309566E-2</v>
      </c>
      <c r="U344" s="165">
        <f ca="1"/>
        <v>5.6350740804279487E-2</v>
      </c>
      <c r="V344" s="140">
        <f ca="1"/>
        <v>9.0723561561857347E-2</v>
      </c>
      <c r="W344" s="139">
        <f ca="1"/>
        <v>0</v>
      </c>
      <c r="X344" s="165">
        <f ca="1"/>
        <v>0</v>
      </c>
      <c r="Y344" s="165">
        <f ca="1"/>
        <v>3.9737002865535276E-3</v>
      </c>
      <c r="Z344" s="165">
        <f ca="1"/>
        <v>0</v>
      </c>
      <c r="AA344" s="165">
        <f ca="1"/>
        <v>1.8631945624556723E-2</v>
      </c>
      <c r="AB344" s="165">
        <f ca="1"/>
        <v>0</v>
      </c>
      <c r="AC344" s="165">
        <f ca="1"/>
        <v>3.9913562677014403E-2</v>
      </c>
      <c r="AD344" s="165">
        <f ca="1"/>
        <v>5.9093744654751035E-2</v>
      </c>
      <c r="AE344" s="140">
        <f ca="1"/>
        <v>9.5076666543527755E-2</v>
      </c>
      <c r="AI344" s="137">
        <v>3.7000000000000002E-3</v>
      </c>
      <c r="AK344" s="137">
        <v>1.77E-2</v>
      </c>
      <c r="AM344" s="137">
        <v>3.7900000000000003E-2</v>
      </c>
      <c r="AN344" s="137">
        <v>5.62E-2</v>
      </c>
      <c r="AO344" s="137">
        <v>9.06E-2</v>
      </c>
      <c r="AR344" s="137">
        <v>3.8999999999999998E-3</v>
      </c>
      <c r="AT344" s="137">
        <v>1.8499999999999999E-2</v>
      </c>
      <c r="AV344" s="137">
        <v>3.9800000000000002E-2</v>
      </c>
      <c r="AW344" s="137">
        <v>5.8999999999999997E-2</v>
      </c>
      <c r="AX344" s="137">
        <v>9.4899999999999998E-2</v>
      </c>
    </row>
    <row r="345" spans="1:50" s="79" customFormat="1" ht="10.199999999999999" x14ac:dyDescent="0.2">
      <c r="A345" s="97">
        <f t="shared" ca="1" si="7"/>
        <v>334</v>
      </c>
      <c r="B345" s="68" t="s">
        <v>405</v>
      </c>
      <c r="C345" s="98">
        <v>0.2</v>
      </c>
      <c r="D345" s="69" t="s">
        <v>66</v>
      </c>
      <c r="E345" s="138" t="s">
        <v>87</v>
      </c>
      <c r="F345" s="158">
        <v>1.15E-3</v>
      </c>
      <c r="G345" s="158">
        <v>1.66E-3</v>
      </c>
      <c r="H345" s="158">
        <v>2.82E-3</v>
      </c>
      <c r="I345" s="158">
        <v>3.8899999999999998E-3</v>
      </c>
      <c r="J345" s="158" t="s">
        <v>87</v>
      </c>
      <c r="K345" s="158">
        <v>5.4999999999999997E-3</v>
      </c>
      <c r="L345" s="158">
        <v>6.2100000000000002E-3</v>
      </c>
      <c r="M345" s="158">
        <v>6.62E-3</v>
      </c>
      <c r="N345" s="139" cm="1">
        <f t="array" aca="1" ref="N345:AE345" ca="1">IF(OR(B345="",NOT($J$2)),"",GetStripDefaultProbability(A345,B345,Parameter_Date,CDSRollDate,E345:M345,SpreadCurveMaturities,D345,C345,$J$4,$J$6))</f>
        <v>0</v>
      </c>
      <c r="O345" s="165">
        <f ca="1"/>
        <v>8.0457062600935991E-4</v>
      </c>
      <c r="P345" s="165">
        <f ca="1"/>
        <v>2.204059524139268E-3</v>
      </c>
      <c r="Q345" s="165">
        <f ca="1"/>
        <v>7.3414293893270255E-3</v>
      </c>
      <c r="R345" s="165">
        <f ca="1"/>
        <v>1.5127369841747451E-2</v>
      </c>
      <c r="S345" s="165">
        <f ca="1"/>
        <v>0</v>
      </c>
      <c r="T345" s="165">
        <f ca="1"/>
        <v>3.5507940763510604E-2</v>
      </c>
      <c r="U345" s="165">
        <f ca="1"/>
        <v>5.5644746794737077E-2</v>
      </c>
      <c r="V345" s="140">
        <f ca="1"/>
        <v>8.3426695501040871E-2</v>
      </c>
      <c r="W345" s="139">
        <f ca="1"/>
        <v>0</v>
      </c>
      <c r="X345" s="165">
        <f ca="1"/>
        <v>8.7450135028865894E-4</v>
      </c>
      <c r="Y345" s="165">
        <f ca="1"/>
        <v>2.3287762217505392E-3</v>
      </c>
      <c r="Z345" s="165">
        <f ca="1"/>
        <v>7.7060054067895623E-3</v>
      </c>
      <c r="AA345" s="165">
        <f ca="1"/>
        <v>1.587776341759084E-2</v>
      </c>
      <c r="AB345" s="165">
        <f ca="1"/>
        <v>0</v>
      </c>
      <c r="AC345" s="165">
        <f ca="1"/>
        <v>3.7253620523906128E-2</v>
      </c>
      <c r="AD345" s="165">
        <f ca="1"/>
        <v>5.8357232096477918E-2</v>
      </c>
      <c r="AE345" s="140">
        <f ca="1"/>
        <v>8.7427243636860497E-2</v>
      </c>
      <c r="AH345" s="137">
        <v>8.0000000000000004E-4</v>
      </c>
      <c r="AI345" s="137">
        <v>2.2000000000000001E-3</v>
      </c>
      <c r="AJ345" s="137">
        <v>7.3000000000000001E-3</v>
      </c>
      <c r="AK345" s="137">
        <v>1.5100000000000001E-2</v>
      </c>
      <c r="AM345" s="137">
        <v>3.5400000000000001E-2</v>
      </c>
      <c r="AN345" s="137">
        <v>5.5500000000000001E-2</v>
      </c>
      <c r="AO345" s="137">
        <v>8.3299999999999999E-2</v>
      </c>
      <c r="AQ345" s="137">
        <v>8.0000000000000004E-4</v>
      </c>
      <c r="AR345" s="137">
        <v>2.3E-3</v>
      </c>
      <c r="AS345" s="137">
        <v>7.6E-3</v>
      </c>
      <c r="AT345" s="137">
        <v>1.5800000000000002E-2</v>
      </c>
      <c r="AV345" s="137">
        <v>3.7100000000000001E-2</v>
      </c>
      <c r="AW345" s="137">
        <v>5.8200000000000002E-2</v>
      </c>
      <c r="AX345" s="137">
        <v>8.7300000000000003E-2</v>
      </c>
    </row>
    <row r="346" spans="1:50" s="79" customFormat="1" ht="10.199999999999999" x14ac:dyDescent="0.2">
      <c r="A346" s="97">
        <f t="shared" ca="1" si="7"/>
        <v>335</v>
      </c>
      <c r="B346" s="68" t="s">
        <v>406</v>
      </c>
      <c r="C346" s="98">
        <v>0.2</v>
      </c>
      <c r="D346" s="69" t="s">
        <v>66</v>
      </c>
      <c r="E346" s="138" t="s">
        <v>87</v>
      </c>
      <c r="F346" s="158">
        <v>1.49E-3</v>
      </c>
      <c r="G346" s="158">
        <v>2.1800000000000001E-3</v>
      </c>
      <c r="H346" s="158">
        <v>3.0999999999999999E-3</v>
      </c>
      <c r="I346" s="158">
        <v>3.98E-3</v>
      </c>
      <c r="J346" s="158" t="s">
        <v>87</v>
      </c>
      <c r="K346" s="158">
        <v>5.3E-3</v>
      </c>
      <c r="L346" s="158">
        <v>5.8999999999999999E-3</v>
      </c>
      <c r="M346" s="158">
        <v>6.3E-3</v>
      </c>
      <c r="N346" s="139" cm="1">
        <f t="array" aca="1" ref="N346:AE346" ca="1">IF(OR(B346="",NOT($J$2)),"",GetStripDefaultProbability(A346,B346,Parameter_Date,CDSRollDate,E346:M346,SpreadCurveMaturities,D346,C346,$J$4,$J$6))</f>
        <v>0</v>
      </c>
      <c r="O346" s="165">
        <f ca="1"/>
        <v>1.0423199528043492E-3</v>
      </c>
      <c r="P346" s="165">
        <f ca="1"/>
        <v>2.8940137236038721E-3</v>
      </c>
      <c r="Q346" s="165">
        <f ca="1"/>
        <v>8.0469778695873018E-3</v>
      </c>
      <c r="R346" s="165">
        <f ca="1"/>
        <v>1.5418480103760568E-2</v>
      </c>
      <c r="S346" s="165">
        <f ca="1"/>
        <v>0</v>
      </c>
      <c r="T346" s="165">
        <f ca="1"/>
        <v>3.4076183558202522E-2</v>
      </c>
      <c r="U346" s="165">
        <f ca="1"/>
        <v>5.2692822532527495E-2</v>
      </c>
      <c r="V346" s="140">
        <f ca="1"/>
        <v>7.9325248707870721E-2</v>
      </c>
      <c r="W346" s="139">
        <f ca="1"/>
        <v>0</v>
      </c>
      <c r="X346" s="165">
        <f ca="1"/>
        <v>1.112233123148676E-3</v>
      </c>
      <c r="Y346" s="165">
        <f ca="1"/>
        <v>3.029860159491804E-3</v>
      </c>
      <c r="Z346" s="165">
        <f ca="1"/>
        <v>8.4476705047072942E-3</v>
      </c>
      <c r="AA346" s="165">
        <f ca="1"/>
        <v>1.6184145775519299E-2</v>
      </c>
      <c r="AB346" s="165">
        <f ca="1"/>
        <v>0</v>
      </c>
      <c r="AC346" s="165">
        <f ca="1"/>
        <v>3.5752911139274812E-2</v>
      </c>
      <c r="AD346" s="165">
        <f ca="1"/>
        <v>5.5264294353418397E-2</v>
      </c>
      <c r="AE346" s="140">
        <f ca="1"/>
        <v>8.3136393699118627E-2</v>
      </c>
      <c r="AH346" s="137">
        <v>1E-3</v>
      </c>
      <c r="AI346" s="137">
        <v>2.8999999999999998E-3</v>
      </c>
      <c r="AJ346" s="137">
        <v>8.0000000000000002E-3</v>
      </c>
      <c r="AK346" s="137">
        <v>1.5299999999999999E-2</v>
      </c>
      <c r="AM346" s="137">
        <v>3.4000000000000002E-2</v>
      </c>
      <c r="AN346" s="137">
        <v>5.2600000000000001E-2</v>
      </c>
      <c r="AO346" s="137">
        <v>7.9200000000000007E-2</v>
      </c>
      <c r="AQ346" s="137">
        <v>1.1000000000000001E-3</v>
      </c>
      <c r="AR346" s="137">
        <v>3.0000000000000001E-3</v>
      </c>
      <c r="AS346" s="137">
        <v>8.3999999999999995E-3</v>
      </c>
      <c r="AT346" s="137">
        <v>1.61E-2</v>
      </c>
      <c r="AV346" s="137">
        <v>3.5700000000000003E-2</v>
      </c>
      <c r="AW346" s="137">
        <v>5.5199999999999999E-2</v>
      </c>
      <c r="AX346" s="137">
        <v>8.3000000000000004E-2</v>
      </c>
    </row>
    <row r="347" spans="1:50" s="79" customFormat="1" ht="10.199999999999999" x14ac:dyDescent="0.2">
      <c r="A347" s="97">
        <f t="shared" ca="1" si="7"/>
        <v>336</v>
      </c>
      <c r="B347" s="68" t="s">
        <v>407</v>
      </c>
      <c r="C347" s="98">
        <v>0.2</v>
      </c>
      <c r="D347" s="69" t="s">
        <v>66</v>
      </c>
      <c r="E347" s="138" t="s">
        <v>87</v>
      </c>
      <c r="F347" s="158">
        <v>1.39E-3</v>
      </c>
      <c r="G347" s="158">
        <v>2.0899999999999998E-3</v>
      </c>
      <c r="H347" s="158">
        <v>3.0500000000000002E-3</v>
      </c>
      <c r="I347" s="158">
        <v>3.8999999999999998E-3</v>
      </c>
      <c r="J347" s="158" t="s">
        <v>87</v>
      </c>
      <c r="K347" s="158">
        <v>5.3E-3</v>
      </c>
      <c r="L347" s="158">
        <v>6.0000000000000001E-3</v>
      </c>
      <c r="M347" s="158">
        <v>6.6E-3</v>
      </c>
      <c r="N347" s="139" cm="1">
        <f t="array" aca="1" ref="N347:AE347" ca="1">IF(OR(B347="",NOT($J$2)),"",GetStripDefaultProbability(A347,B347,Parameter_Date,CDSRollDate,E347:M347,SpreadCurveMaturities,D347,C347,$J$4,$J$6))</f>
        <v>0</v>
      </c>
      <c r="O347" s="165">
        <f ca="1"/>
        <v>9.7239953892247488E-4</v>
      </c>
      <c r="P347" s="165">
        <f ca="1"/>
        <v>2.7753554015588211E-3</v>
      </c>
      <c r="Q347" s="165">
        <f ca="1"/>
        <v>7.9216119410717711E-3</v>
      </c>
      <c r="R347" s="165">
        <f ca="1"/>
        <v>1.5112352021795283E-2</v>
      </c>
      <c r="S347" s="165">
        <f ca="1"/>
        <v>0</v>
      </c>
      <c r="T347" s="165">
        <f ca="1"/>
        <v>3.4113472211768747E-2</v>
      </c>
      <c r="U347" s="165">
        <f ca="1"/>
        <v>5.3697871274409947E-2</v>
      </c>
      <c r="V347" s="140">
        <f ca="1"/>
        <v>8.3513312117011962E-2</v>
      </c>
      <c r="W347" s="139">
        <f ca="1"/>
        <v>0</v>
      </c>
      <c r="X347" s="165">
        <f ca="1"/>
        <v>1.042317897982703E-3</v>
      </c>
      <c r="Y347" s="165">
        <f ca="1"/>
        <v>2.9056093633724744E-3</v>
      </c>
      <c r="Z347" s="165">
        <f ca="1"/>
        <v>8.3159911764094652E-3</v>
      </c>
      <c r="AA347" s="165">
        <f ca="1"/>
        <v>1.5862817456150258E-2</v>
      </c>
      <c r="AB347" s="165">
        <f ca="1"/>
        <v>0</v>
      </c>
      <c r="AC347" s="165">
        <f ca="1"/>
        <v>3.5792062204375474E-2</v>
      </c>
      <c r="AD347" s="165">
        <f ca="1"/>
        <v>5.6317917751596225E-2</v>
      </c>
      <c r="AE347" s="140">
        <f ca="1"/>
        <v>8.7520206159759528E-2</v>
      </c>
      <c r="AH347" s="137">
        <v>8.9999999999999998E-4</v>
      </c>
      <c r="AI347" s="137">
        <v>2.7000000000000001E-3</v>
      </c>
      <c r="AJ347" s="137">
        <v>7.9000000000000008E-3</v>
      </c>
      <c r="AK347" s="137">
        <v>1.4999999999999999E-2</v>
      </c>
      <c r="AM347" s="137">
        <v>3.4000000000000002E-2</v>
      </c>
      <c r="AN347" s="137">
        <v>5.3600000000000002E-2</v>
      </c>
      <c r="AO347" s="137">
        <v>8.3400000000000002E-2</v>
      </c>
      <c r="AQ347" s="137">
        <v>1E-3</v>
      </c>
      <c r="AR347" s="137">
        <v>2.8999999999999998E-3</v>
      </c>
      <c r="AS347" s="137">
        <v>8.3000000000000001E-3</v>
      </c>
      <c r="AT347" s="137">
        <v>1.5800000000000002E-2</v>
      </c>
      <c r="AV347" s="137">
        <v>3.5700000000000003E-2</v>
      </c>
      <c r="AW347" s="137">
        <v>5.62E-2</v>
      </c>
      <c r="AX347" s="137">
        <v>8.7400000000000005E-2</v>
      </c>
    </row>
    <row r="348" spans="1:50" s="79" customFormat="1" ht="10.199999999999999" x14ac:dyDescent="0.2">
      <c r="A348" s="97">
        <f t="shared" ca="1" si="7"/>
        <v>337</v>
      </c>
      <c r="B348" s="68" t="s">
        <v>408</v>
      </c>
      <c r="C348" s="98">
        <v>0.4</v>
      </c>
      <c r="D348" s="69" t="s">
        <v>67</v>
      </c>
      <c r="E348" s="138" t="s">
        <v>87</v>
      </c>
      <c r="F348" s="158" t="s">
        <v>87</v>
      </c>
      <c r="G348" s="158">
        <v>2.5000000000000001E-3</v>
      </c>
      <c r="H348" s="158" t="s">
        <v>87</v>
      </c>
      <c r="I348" s="158">
        <v>3.7000000000000002E-3</v>
      </c>
      <c r="J348" s="158" t="s">
        <v>87</v>
      </c>
      <c r="K348" s="158">
        <v>5.0000000000000001E-3</v>
      </c>
      <c r="L348" s="158">
        <v>5.7999999999999996E-3</v>
      </c>
      <c r="M348" s="158">
        <v>7.0000000000000001E-3</v>
      </c>
      <c r="N348" s="139" cm="1">
        <f t="array" aca="1" ref="N348:AE348" ca="1">IF(OR(B348="",NOT($J$2)),"",GetStripDefaultProbability(A348,B348,Parameter_Date,CDSRollDate,E348:M348,SpreadCurveMaturities,D348,C348,$J$4,$J$6))</f>
        <v>0</v>
      </c>
      <c r="O348" s="165">
        <f ca="1"/>
        <v>0</v>
      </c>
      <c r="P348" s="165">
        <f ca="1"/>
        <v>4.4031444174387202E-3</v>
      </c>
      <c r="Q348" s="165">
        <f ca="1"/>
        <v>0</v>
      </c>
      <c r="R348" s="165">
        <f ca="1"/>
        <v>1.8935519533352263E-2</v>
      </c>
      <c r="S348" s="165">
        <f ca="1"/>
        <v>0</v>
      </c>
      <c r="T348" s="165">
        <f ca="1"/>
        <v>4.2643337643888835E-2</v>
      </c>
      <c r="U348" s="165">
        <f ca="1"/>
        <v>6.8960788430391884E-2</v>
      </c>
      <c r="V348" s="140">
        <f ca="1"/>
        <v>0.11884118114454845</v>
      </c>
      <c r="W348" s="139">
        <f ca="1"/>
        <v>0</v>
      </c>
      <c r="X348" s="165">
        <f ca="1"/>
        <v>0</v>
      </c>
      <c r="Y348" s="165">
        <f ca="1"/>
        <v>4.6105388246836521E-3</v>
      </c>
      <c r="Z348" s="165">
        <f ca="1"/>
        <v>0</v>
      </c>
      <c r="AA348" s="165">
        <f ca="1"/>
        <v>1.987304359962383E-2</v>
      </c>
      <c r="AB348" s="165">
        <f ca="1"/>
        <v>0</v>
      </c>
      <c r="AC348" s="165">
        <f ca="1"/>
        <v>4.4732474737756989E-2</v>
      </c>
      <c r="AD348" s="165">
        <f ca="1"/>
        <v>7.2301861845636473E-2</v>
      </c>
      <c r="AE348" s="140">
        <f ca="1"/>
        <v>0.12449256505983375</v>
      </c>
      <c r="AI348" s="137">
        <v>4.3E-3</v>
      </c>
      <c r="AK348" s="137">
        <v>1.8800000000000001E-2</v>
      </c>
      <c r="AM348" s="137">
        <v>4.2500000000000003E-2</v>
      </c>
      <c r="AN348" s="137">
        <v>6.88E-2</v>
      </c>
      <c r="AO348" s="137">
        <v>0.1187</v>
      </c>
      <c r="AR348" s="137">
        <v>4.5999999999999999E-3</v>
      </c>
      <c r="AT348" s="137">
        <v>1.9800000000000002E-2</v>
      </c>
      <c r="AV348" s="137">
        <v>4.4600000000000001E-2</v>
      </c>
      <c r="AW348" s="137">
        <v>7.22E-2</v>
      </c>
      <c r="AX348" s="137">
        <v>0.12429999999999999</v>
      </c>
    </row>
    <row r="349" spans="1:50" s="79" customFormat="1" ht="10.199999999999999" x14ac:dyDescent="0.2">
      <c r="A349" s="97">
        <f t="shared" ca="1" si="7"/>
        <v>338</v>
      </c>
      <c r="B349" s="68" t="s">
        <v>409</v>
      </c>
      <c r="C349" s="98">
        <v>0.2</v>
      </c>
      <c r="D349" s="69" t="s">
        <v>66</v>
      </c>
      <c r="E349" s="138" t="s">
        <v>87</v>
      </c>
      <c r="F349" s="158">
        <v>1.2199999999999999E-3</v>
      </c>
      <c r="G349" s="158">
        <v>1.82E-3</v>
      </c>
      <c r="H349" s="158">
        <v>2.6700000000000001E-3</v>
      </c>
      <c r="I349" s="158">
        <v>3.4399999999999999E-3</v>
      </c>
      <c r="J349" s="158" t="s">
        <v>87</v>
      </c>
      <c r="K349" s="158">
        <v>4.7999999999999996E-3</v>
      </c>
      <c r="L349" s="158">
        <v>5.4999999999999997E-3</v>
      </c>
      <c r="M349" s="158">
        <v>6.1000000000000004E-3</v>
      </c>
      <c r="N349" s="139" cm="1">
        <f t="array" aca="1" ref="N349:AE349" ca="1">IF(OR(B349="",NOT($J$2)),"",GetStripDefaultProbability(A349,B349,Parameter_Date,CDSRollDate,E349:M349,SpreadCurveMaturities,D349,C349,$J$4,$J$6))</f>
        <v>0</v>
      </c>
      <c r="O349" s="165">
        <f ca="1"/>
        <v>8.5352363083623928E-4</v>
      </c>
      <c r="P349" s="165">
        <f ca="1"/>
        <v>2.4170034046449018E-3</v>
      </c>
      <c r="Q349" s="165">
        <f ca="1"/>
        <v>6.9377930179925773E-3</v>
      </c>
      <c r="R349" s="165">
        <f ca="1"/>
        <v>1.3342907893163947E-2</v>
      </c>
      <c r="S349" s="165">
        <f ca="1"/>
        <v>0</v>
      </c>
      <c r="T349" s="165">
        <f ca="1"/>
        <v>3.0977432876876598E-2</v>
      </c>
      <c r="U349" s="165">
        <f ca="1"/>
        <v>4.9416502238818993E-2</v>
      </c>
      <c r="V349" s="140">
        <f ca="1"/>
        <v>7.7600616445795967E-2</v>
      </c>
      <c r="W349" s="139">
        <f ca="1"/>
        <v>0</v>
      </c>
      <c r="X349" s="165">
        <f ca="1"/>
        <v>9.2345076127819947E-4</v>
      </c>
      <c r="Y349" s="165">
        <f ca="1"/>
        <v>2.541693485935137E-3</v>
      </c>
      <c r="Z349" s="165">
        <f ca="1"/>
        <v>7.28272224042259E-3</v>
      </c>
      <c r="AA349" s="165">
        <f ca="1"/>
        <v>1.4005391610826479E-2</v>
      </c>
      <c r="AB349" s="165">
        <f ca="1"/>
        <v>0</v>
      </c>
      <c r="AC349" s="165">
        <f ca="1"/>
        <v>3.2503540953268795E-2</v>
      </c>
      <c r="AD349" s="165">
        <f ca="1"/>
        <v>5.1832527272481221E-2</v>
      </c>
      <c r="AE349" s="140">
        <f ca="1"/>
        <v>8.13361001711701E-2</v>
      </c>
      <c r="AH349" s="137">
        <v>8.0000000000000004E-4</v>
      </c>
      <c r="AI349" s="137">
        <v>2.3999999999999998E-3</v>
      </c>
      <c r="AJ349" s="137">
        <v>6.8999999999999999E-3</v>
      </c>
      <c r="AK349" s="137">
        <v>1.3299999999999999E-2</v>
      </c>
      <c r="AM349" s="137">
        <v>3.09E-2</v>
      </c>
      <c r="AN349" s="137">
        <v>4.9299999999999997E-2</v>
      </c>
      <c r="AO349" s="137">
        <v>7.7499999999999999E-2</v>
      </c>
      <c r="AQ349" s="137">
        <v>8.9999999999999998E-4</v>
      </c>
      <c r="AR349" s="137">
        <v>2.5000000000000001E-3</v>
      </c>
      <c r="AS349" s="137">
        <v>7.1999999999999998E-3</v>
      </c>
      <c r="AT349" s="137">
        <v>1.3899999999999999E-2</v>
      </c>
      <c r="AV349" s="137">
        <v>3.2399999999999998E-2</v>
      </c>
      <c r="AW349" s="137">
        <v>5.1700000000000003E-2</v>
      </c>
      <c r="AX349" s="137">
        <v>8.1199999999999994E-2</v>
      </c>
    </row>
    <row r="350" spans="1:50" s="79" customFormat="1" ht="10.199999999999999" x14ac:dyDescent="0.2">
      <c r="A350" s="97">
        <f t="shared" ca="1" si="7"/>
        <v>339</v>
      </c>
      <c r="B350" s="68" t="s">
        <v>410</v>
      </c>
      <c r="C350" s="98">
        <v>0.2</v>
      </c>
      <c r="D350" s="69" t="s">
        <v>66</v>
      </c>
      <c r="E350" s="138" t="s">
        <v>87</v>
      </c>
      <c r="F350" s="158">
        <v>1.42E-3</v>
      </c>
      <c r="G350" s="158">
        <v>1.7700000000000001E-3</v>
      </c>
      <c r="H350" s="158">
        <v>2.66E-3</v>
      </c>
      <c r="I350" s="158">
        <v>3.4199999999999999E-3</v>
      </c>
      <c r="J350" s="158" t="s">
        <v>87</v>
      </c>
      <c r="K350" s="158">
        <v>4.5999999999999999E-3</v>
      </c>
      <c r="L350" s="158">
        <v>5.2399999999999999E-3</v>
      </c>
      <c r="M350" s="158">
        <v>5.7999999999999996E-3</v>
      </c>
      <c r="N350" s="139" cm="1">
        <f t="array" aca="1" ref="N350:AE350" ca="1">IF(OR(B350="",NOT($J$2)),"",GetStripDefaultProbability(A350,B350,Parameter_Date,CDSRollDate,E350:M350,SpreadCurveMaturities,D350,C350,$J$4,$J$6))</f>
        <v>0</v>
      </c>
      <c r="O350" s="165">
        <f ca="1"/>
        <v>9.9337617569206227E-4</v>
      </c>
      <c r="P350" s="165">
        <f ca="1"/>
        <v>2.3465637321267163E-3</v>
      </c>
      <c r="Q350" s="165">
        <f ca="1"/>
        <v>6.9102642555554095E-3</v>
      </c>
      <c r="R350" s="165">
        <f ca="1"/>
        <v>1.3263160655942241E-2</v>
      </c>
      <c r="S350" s="165">
        <f ca="1"/>
        <v>0</v>
      </c>
      <c r="T350" s="165">
        <f ca="1"/>
        <v>2.9645226080907805E-2</v>
      </c>
      <c r="U350" s="165">
        <f ca="1"/>
        <v>4.7040699560601973E-2</v>
      </c>
      <c r="V350" s="140">
        <f ca="1"/>
        <v>7.3795464275630551E-2</v>
      </c>
      <c r="W350" s="139">
        <f ca="1"/>
        <v>0</v>
      </c>
      <c r="X350" s="165">
        <f ca="1"/>
        <v>1.0632929803825464E-3</v>
      </c>
      <c r="Y350" s="165">
        <f ca="1"/>
        <v>2.4712626178132746E-3</v>
      </c>
      <c r="Z350" s="165">
        <f ca="1"/>
        <v>7.2538785210146672E-3</v>
      </c>
      <c r="AA350" s="165">
        <f ca="1"/>
        <v>1.3921752988555247E-2</v>
      </c>
      <c r="AB350" s="165">
        <f ca="1"/>
        <v>0</v>
      </c>
      <c r="AC350" s="165">
        <f ca="1"/>
        <v>3.1106431101986409E-2</v>
      </c>
      <c r="AD350" s="165">
        <f ca="1"/>
        <v>4.9342530975659771E-2</v>
      </c>
      <c r="AE350" s="140">
        <f ca="1"/>
        <v>7.735387445106523E-2</v>
      </c>
      <c r="AH350" s="137">
        <v>1E-3</v>
      </c>
      <c r="AI350" s="137">
        <v>2.3E-3</v>
      </c>
      <c r="AJ350" s="137">
        <v>6.8999999999999999E-3</v>
      </c>
      <c r="AK350" s="137">
        <v>1.32E-2</v>
      </c>
      <c r="AM350" s="137">
        <v>2.9600000000000001E-2</v>
      </c>
      <c r="AN350" s="137">
        <v>4.6899999999999997E-2</v>
      </c>
      <c r="AO350" s="137">
        <v>7.3700000000000002E-2</v>
      </c>
      <c r="AQ350" s="137">
        <v>1E-3</v>
      </c>
      <c r="AR350" s="137">
        <v>2.3999999999999998E-3</v>
      </c>
      <c r="AS350" s="137">
        <v>7.1999999999999998E-3</v>
      </c>
      <c r="AT350" s="137">
        <v>1.3899999999999999E-2</v>
      </c>
      <c r="AV350" s="137">
        <v>3.1E-2</v>
      </c>
      <c r="AW350" s="137">
        <v>4.9200000000000001E-2</v>
      </c>
      <c r="AX350" s="137">
        <v>7.7200000000000005E-2</v>
      </c>
    </row>
    <row r="351" spans="1:50" s="79" customFormat="1" ht="10.199999999999999" x14ac:dyDescent="0.2">
      <c r="A351" s="97">
        <f t="shared" ca="1" si="7"/>
        <v>340</v>
      </c>
      <c r="B351" s="68" t="s">
        <v>124</v>
      </c>
      <c r="C351" s="98">
        <v>0.4</v>
      </c>
      <c r="D351" s="69" t="s">
        <v>66</v>
      </c>
      <c r="E351" s="138" t="s">
        <v>87</v>
      </c>
      <c r="F351" s="158">
        <v>1.8500000000000001E-3</v>
      </c>
      <c r="G351" s="158">
        <v>2.0699999999999998E-3</v>
      </c>
      <c r="H351" s="158">
        <v>2.81E-3</v>
      </c>
      <c r="I351" s="158">
        <v>3.2599999999999999E-3</v>
      </c>
      <c r="J351" s="158" t="s">
        <v>87</v>
      </c>
      <c r="K351" s="158">
        <v>4.1000000000000003E-3</v>
      </c>
      <c r="L351" s="158">
        <v>4.5999999999999999E-3</v>
      </c>
      <c r="M351" s="158">
        <v>5.0000000000000001E-3</v>
      </c>
      <c r="N351" s="139" cm="1">
        <f t="array" aca="1" ref="N351:AE351" ca="1">IF(OR(B351="",NOT($J$2)),"",GetStripDefaultProbability(A351,B351,Parameter_Date,CDSRollDate,E351:M351,SpreadCurveMaturities,D351,C351,$J$4,$J$6))</f>
        <v>0</v>
      </c>
      <c r="O351" s="165">
        <f ca="1"/>
        <v>1.7249527500857731E-3</v>
      </c>
      <c r="P351" s="165">
        <f ca="1"/>
        <v>3.6523560322061499E-3</v>
      </c>
      <c r="Q351" s="165">
        <f ca="1"/>
        <v>9.7006156171811631E-3</v>
      </c>
      <c r="R351" s="165">
        <f ca="1"/>
        <v>1.6748605724256849E-2</v>
      </c>
      <c r="S351" s="165">
        <f ca="1"/>
        <v>0</v>
      </c>
      <c r="T351" s="165">
        <f ca="1"/>
        <v>3.4943990683157899E-2</v>
      </c>
      <c r="U351" s="165">
        <f ca="1"/>
        <v>5.4585764443587759E-2</v>
      </c>
      <c r="V351" s="140">
        <f ca="1"/>
        <v>8.3884219733089016E-2</v>
      </c>
      <c r="W351" s="139">
        <f ca="1"/>
        <v>0</v>
      </c>
      <c r="X351" s="165">
        <f ca="1"/>
        <v>1.8181021060176272E-3</v>
      </c>
      <c r="Y351" s="165">
        <f ca="1"/>
        <v>3.8242111778519217E-3</v>
      </c>
      <c r="Z351" s="165">
        <f ca="1"/>
        <v>1.0183584375195176E-2</v>
      </c>
      <c r="AA351" s="165">
        <f ca="1"/>
        <v>1.7579792963657304E-2</v>
      </c>
      <c r="AB351" s="165">
        <f ca="1"/>
        <v>0</v>
      </c>
      <c r="AC351" s="165">
        <f ca="1"/>
        <v>3.6661953212643095E-2</v>
      </c>
      <c r="AD351" s="165">
        <f ca="1"/>
        <v>5.7246203105075333E-2</v>
      </c>
      <c r="AE351" s="140">
        <f ca="1"/>
        <v>8.790503178325737E-2</v>
      </c>
      <c r="AH351" s="137">
        <v>1.6999999999999999E-3</v>
      </c>
      <c r="AI351" s="137">
        <v>3.5999999999999999E-3</v>
      </c>
      <c r="AJ351" s="137">
        <v>9.5999999999999992E-3</v>
      </c>
      <c r="AK351" s="137">
        <v>1.67E-2</v>
      </c>
      <c r="AM351" s="137">
        <v>3.4799999999999998E-2</v>
      </c>
      <c r="AN351" s="137">
        <v>5.45E-2</v>
      </c>
      <c r="AO351" s="137">
        <v>8.3799999999999999E-2</v>
      </c>
      <c r="AQ351" s="137">
        <v>1.8E-3</v>
      </c>
      <c r="AR351" s="137">
        <v>3.8E-3</v>
      </c>
      <c r="AS351" s="137">
        <v>1.01E-2</v>
      </c>
      <c r="AT351" s="137">
        <v>1.7500000000000002E-2</v>
      </c>
      <c r="AV351" s="137">
        <v>3.6600000000000001E-2</v>
      </c>
      <c r="AW351" s="137">
        <v>5.7099999999999998E-2</v>
      </c>
      <c r="AX351" s="137">
        <v>8.7800000000000003E-2</v>
      </c>
    </row>
    <row r="352" spans="1:50" s="79" customFormat="1" ht="10.199999999999999" x14ac:dyDescent="0.2">
      <c r="A352" s="97">
        <f t="shared" ca="1" si="7"/>
        <v>341</v>
      </c>
      <c r="B352" s="68" t="s">
        <v>411</v>
      </c>
      <c r="C352" s="98">
        <v>0.4</v>
      </c>
      <c r="D352" s="69" t="s">
        <v>67</v>
      </c>
      <c r="E352" s="138" t="s">
        <v>87</v>
      </c>
      <c r="F352" s="158">
        <v>1.41E-3</v>
      </c>
      <c r="G352" s="158">
        <v>2.1900000000000001E-3</v>
      </c>
      <c r="H352" s="158">
        <v>3.2100000000000002E-3</v>
      </c>
      <c r="I352" s="158">
        <v>3.7299999999999998E-3</v>
      </c>
      <c r="J352" s="158" t="s">
        <v>87</v>
      </c>
      <c r="K352" s="158">
        <v>4.4999999999999997E-3</v>
      </c>
      <c r="L352" s="158">
        <v>4.8900000000000002E-3</v>
      </c>
      <c r="M352" s="158">
        <v>5.2700000000000004E-3</v>
      </c>
      <c r="N352" s="139" cm="1">
        <f t="array" aca="1" ref="N352:AE352" ca="1">IF(OR(B352="",NOT($J$2)),"",GetStripDefaultProbability(A352,B352,Parameter_Date,CDSRollDate,E352:M352,SpreadCurveMaturities,D352,C352,$J$4,$J$6))</f>
        <v>0</v>
      </c>
      <c r="O352" s="165">
        <f ca="1"/>
        <v>1.3149828785382622E-3</v>
      </c>
      <c r="P352" s="165">
        <f ca="1"/>
        <v>3.876914977271162E-3</v>
      </c>
      <c r="Q352" s="165">
        <f ca="1"/>
        <v>1.1103762159032637E-2</v>
      </c>
      <c r="R352" s="165">
        <f ca="1"/>
        <v>1.9174074106584005E-2</v>
      </c>
      <c r="S352" s="165">
        <f ca="1"/>
        <v>0</v>
      </c>
      <c r="T352" s="165">
        <f ca="1"/>
        <v>3.8259873176191284E-2</v>
      </c>
      <c r="U352" s="165">
        <f ca="1"/>
        <v>5.775492316322639E-2</v>
      </c>
      <c r="V352" s="140">
        <f ca="1"/>
        <v>8.8081232573172907E-2</v>
      </c>
      <c r="W352" s="139">
        <f ca="1"/>
        <v>0</v>
      </c>
      <c r="X352" s="165">
        <f ca="1"/>
        <v>1.4081746357321734E-3</v>
      </c>
      <c r="Y352" s="165">
        <f ca="1"/>
        <v>4.0586908527350252E-3</v>
      </c>
      <c r="Z352" s="165">
        <f ca="1"/>
        <v>1.1655818702759668E-2</v>
      </c>
      <c r="AA352" s="165">
        <f ca="1"/>
        <v>2.0124192019706832E-2</v>
      </c>
      <c r="AB352" s="165">
        <f ca="1"/>
        <v>0</v>
      </c>
      <c r="AC352" s="165">
        <f ca="1"/>
        <v>4.0136569161260516E-2</v>
      </c>
      <c r="AD352" s="165">
        <f ca="1"/>
        <v>6.0562743989351686E-2</v>
      </c>
      <c r="AE352" s="140">
        <f ca="1"/>
        <v>9.2288737844382518E-2</v>
      </c>
      <c r="AH352" s="137">
        <v>1.2999999999999999E-3</v>
      </c>
      <c r="AI352" s="137">
        <v>3.8E-3</v>
      </c>
      <c r="AJ352" s="137">
        <v>1.0999999999999999E-2</v>
      </c>
      <c r="AK352" s="137">
        <v>1.9099999999999999E-2</v>
      </c>
      <c r="AM352" s="137">
        <v>3.8199999999999998E-2</v>
      </c>
      <c r="AN352" s="137">
        <v>5.7599999999999998E-2</v>
      </c>
      <c r="AO352" s="137">
        <v>8.7999999999999995E-2</v>
      </c>
      <c r="AQ352" s="137">
        <v>1.4E-3</v>
      </c>
      <c r="AR352" s="137">
        <v>4.0000000000000001E-3</v>
      </c>
      <c r="AS352" s="137">
        <v>1.1599999999999999E-2</v>
      </c>
      <c r="AT352" s="137">
        <v>0.02</v>
      </c>
      <c r="AV352" s="137">
        <v>0.04</v>
      </c>
      <c r="AW352" s="137">
        <v>6.0400000000000002E-2</v>
      </c>
      <c r="AX352" s="137">
        <v>9.2200000000000004E-2</v>
      </c>
    </row>
    <row r="353" spans="1:50" s="79" customFormat="1" ht="10.199999999999999" x14ac:dyDescent="0.2">
      <c r="A353" s="97">
        <f t="shared" ca="1" si="7"/>
        <v>342</v>
      </c>
      <c r="B353" s="68" t="s">
        <v>412</v>
      </c>
      <c r="C353" s="98">
        <v>0.4</v>
      </c>
      <c r="D353" s="69" t="s">
        <v>66</v>
      </c>
      <c r="E353" s="138" t="s">
        <v>87</v>
      </c>
      <c r="F353" s="158">
        <v>1.0200000000000001E-3</v>
      </c>
      <c r="G353" s="158">
        <v>1.5399999999999999E-3</v>
      </c>
      <c r="H353" s="158">
        <v>2.0500000000000002E-3</v>
      </c>
      <c r="I353" s="158">
        <v>2.7599999999999999E-3</v>
      </c>
      <c r="J353" s="158" t="s">
        <v>87</v>
      </c>
      <c r="K353" s="158">
        <v>4.3E-3</v>
      </c>
      <c r="L353" s="158">
        <v>5.0000000000000001E-3</v>
      </c>
      <c r="M353" s="158">
        <v>5.4000000000000003E-3</v>
      </c>
      <c r="N353" s="139" cm="1">
        <f t="array" aca="1" ref="N353:AE353" ca="1">IF(OR(B353="",NOT($J$2)),"",GetStripDefaultProbability(A353,B353,Parameter_Date,CDSRollDate,E353:M353,SpreadCurveMaturities,D353,C353,$J$4,$J$6))</f>
        <v>0</v>
      </c>
      <c r="O353" s="165">
        <f ca="1"/>
        <v>9.5142246280754961E-4</v>
      </c>
      <c r="P353" s="165">
        <f ca="1"/>
        <v>2.7268187217706075E-3</v>
      </c>
      <c r="Q353" s="165">
        <f ca="1"/>
        <v>7.0908434143125421E-3</v>
      </c>
      <c r="R353" s="165">
        <f ca="1"/>
        <v>1.4278165294873912E-2</v>
      </c>
      <c r="S353" s="165">
        <f ca="1"/>
        <v>0</v>
      </c>
      <c r="T353" s="165">
        <f ca="1"/>
        <v>3.7117056196235843E-2</v>
      </c>
      <c r="U353" s="165">
        <f ca="1"/>
        <v>5.9940206454717648E-2</v>
      </c>
      <c r="V353" s="140">
        <f ca="1"/>
        <v>9.0946435999041508E-2</v>
      </c>
      <c r="W353" s="139">
        <f ca="1"/>
        <v>0</v>
      </c>
      <c r="X353" s="165">
        <f ca="1"/>
        <v>1.0446484840380688E-3</v>
      </c>
      <c r="Y353" s="165">
        <f ca="1"/>
        <v>2.8930170684006162E-3</v>
      </c>
      <c r="Z353" s="165">
        <f ca="1"/>
        <v>7.4300294285795099E-3</v>
      </c>
      <c r="AA353" s="165">
        <f ca="1"/>
        <v>1.4986012406482563E-2</v>
      </c>
      <c r="AB353" s="165">
        <f ca="1"/>
        <v>0</v>
      </c>
      <c r="AC353" s="165">
        <f ca="1"/>
        <v>3.8940451469491766E-2</v>
      </c>
      <c r="AD353" s="165">
        <f ca="1"/>
        <v>6.2858234152144532E-2</v>
      </c>
      <c r="AE353" s="140">
        <f ca="1"/>
        <v>9.529434308991791E-2</v>
      </c>
      <c r="AH353" s="137">
        <v>8.9999999999999998E-4</v>
      </c>
      <c r="AI353" s="137">
        <v>2.7000000000000001E-3</v>
      </c>
      <c r="AJ353" s="137">
        <v>7.0000000000000001E-3</v>
      </c>
      <c r="AK353" s="137">
        <v>1.4200000000000001E-2</v>
      </c>
      <c r="AM353" s="137">
        <v>3.6999999999999998E-2</v>
      </c>
      <c r="AN353" s="137">
        <v>5.9799999999999999E-2</v>
      </c>
      <c r="AO353" s="137">
        <v>9.0800000000000006E-2</v>
      </c>
      <c r="AQ353" s="137">
        <v>1E-3</v>
      </c>
      <c r="AR353" s="137">
        <v>2.8999999999999998E-3</v>
      </c>
      <c r="AS353" s="137">
        <v>7.4000000000000003E-3</v>
      </c>
      <c r="AT353" s="137">
        <v>1.49E-2</v>
      </c>
      <c r="AV353" s="137">
        <v>3.8800000000000001E-2</v>
      </c>
      <c r="AW353" s="137">
        <v>6.2700000000000006E-2</v>
      </c>
      <c r="AX353" s="137">
        <v>9.5200000000000007E-2</v>
      </c>
    </row>
    <row r="354" spans="1:50" s="79" customFormat="1" ht="10.199999999999999" x14ac:dyDescent="0.2">
      <c r="A354" s="97">
        <f t="shared" ca="1" si="7"/>
        <v>343</v>
      </c>
      <c r="B354" s="68" t="s">
        <v>176</v>
      </c>
      <c r="C354" s="98">
        <v>0.4</v>
      </c>
      <c r="D354" s="69" t="s">
        <v>66</v>
      </c>
      <c r="E354" s="138" t="s">
        <v>87</v>
      </c>
      <c r="F354" s="158">
        <v>1.65E-3</v>
      </c>
      <c r="G354" s="158">
        <v>2.5300000000000001E-3</v>
      </c>
      <c r="H354" s="158">
        <v>3.2299999999999998E-3</v>
      </c>
      <c r="I354" s="158">
        <v>3.5400000000000002E-3</v>
      </c>
      <c r="J354" s="158" t="s">
        <v>87</v>
      </c>
      <c r="K354" s="158">
        <v>4.1999999999999997E-3</v>
      </c>
      <c r="L354" s="158">
        <v>4.5999999999999999E-3</v>
      </c>
      <c r="M354" s="158">
        <v>5.0000000000000001E-3</v>
      </c>
      <c r="N354" s="139" cm="1">
        <f t="array" aca="1" ref="N354:AE354" ca="1">IF(OR(B354="",NOT($J$2)),"",GetStripDefaultProbability(A354,B354,Parameter_Date,CDSRollDate,E354:M354,SpreadCurveMaturities,D354,C354,$J$4,$J$6))</f>
        <v>0</v>
      </c>
      <c r="O354" s="165">
        <f ca="1"/>
        <v>1.5386145530722484E-3</v>
      </c>
      <c r="P354" s="165">
        <f ca="1"/>
        <v>4.4771908833464158E-3</v>
      </c>
      <c r="Q354" s="165">
        <f ca="1"/>
        <v>1.1145573617585947E-2</v>
      </c>
      <c r="R354" s="165">
        <f ca="1"/>
        <v>1.8135255371771297E-2</v>
      </c>
      <c r="S354" s="165">
        <f ca="1"/>
        <v>0</v>
      </c>
      <c r="T354" s="165">
        <f ca="1"/>
        <v>3.5619033904700337E-2</v>
      </c>
      <c r="U354" s="165">
        <f ca="1"/>
        <v>5.4276794502357562E-2</v>
      </c>
      <c r="V354" s="140">
        <f ca="1"/>
        <v>8.3578832097436551E-2</v>
      </c>
      <c r="W354" s="139">
        <f ca="1"/>
        <v>0</v>
      </c>
      <c r="X354" s="165">
        <f ca="1"/>
        <v>1.6317826338753116E-3</v>
      </c>
      <c r="Y354" s="165">
        <f ca="1"/>
        <v>4.6870581513099863E-3</v>
      </c>
      <c r="Z354" s="165">
        <f ca="1"/>
        <v>1.1699949678927291E-2</v>
      </c>
      <c r="AA354" s="165">
        <f ca="1"/>
        <v>1.9034286557270796E-2</v>
      </c>
      <c r="AB354" s="165">
        <f ca="1"/>
        <v>0</v>
      </c>
      <c r="AC354" s="165">
        <f ca="1"/>
        <v>3.7368500557961148E-2</v>
      </c>
      <c r="AD354" s="165">
        <f ca="1"/>
        <v>5.6920086338577702E-2</v>
      </c>
      <c r="AE354" s="140">
        <f ca="1"/>
        <v>8.7582500912318229E-2</v>
      </c>
      <c r="AH354" s="137">
        <v>1.5E-3</v>
      </c>
      <c r="AI354" s="137">
        <v>4.4000000000000003E-3</v>
      </c>
      <c r="AJ354" s="137">
        <v>1.11E-2</v>
      </c>
      <c r="AK354" s="137">
        <v>1.8100000000000002E-2</v>
      </c>
      <c r="AM354" s="137">
        <v>3.5499999999999997E-2</v>
      </c>
      <c r="AN354" s="137">
        <v>5.4199999999999998E-2</v>
      </c>
      <c r="AO354" s="137">
        <v>8.3500000000000005E-2</v>
      </c>
      <c r="AQ354" s="137">
        <v>1.6000000000000001E-3</v>
      </c>
      <c r="AR354" s="137">
        <v>4.5999999999999999E-3</v>
      </c>
      <c r="AS354" s="137">
        <v>1.1599999999999999E-2</v>
      </c>
      <c r="AT354" s="137">
        <v>1.89E-2</v>
      </c>
      <c r="AV354" s="137">
        <v>3.73E-2</v>
      </c>
      <c r="AW354" s="137">
        <v>5.6800000000000003E-2</v>
      </c>
      <c r="AX354" s="137">
        <v>8.7499999999999994E-2</v>
      </c>
    </row>
    <row r="355" spans="1:50" s="79" customFormat="1" ht="10.199999999999999" x14ac:dyDescent="0.2">
      <c r="A355" s="97">
        <f t="shared" ca="1" si="7"/>
        <v>344</v>
      </c>
      <c r="B355" s="68" t="s">
        <v>413</v>
      </c>
      <c r="C355" s="98">
        <v>0.4</v>
      </c>
      <c r="D355" s="69" t="s">
        <v>66</v>
      </c>
      <c r="E355" s="138" t="s">
        <v>87</v>
      </c>
      <c r="F355" s="158">
        <v>1.06E-3</v>
      </c>
      <c r="G355" s="158">
        <v>1.6900000000000001E-3</v>
      </c>
      <c r="H355" s="158">
        <v>2.0100000000000001E-3</v>
      </c>
      <c r="I355" s="158">
        <v>2.5400000000000002E-3</v>
      </c>
      <c r="J355" s="158" t="s">
        <v>87</v>
      </c>
      <c r="K355" s="158">
        <v>3.5999999999999999E-3</v>
      </c>
      <c r="L355" s="158">
        <v>4.15E-3</v>
      </c>
      <c r="M355" s="158">
        <v>4.5999999999999999E-3</v>
      </c>
      <c r="N355" s="139" cm="1">
        <f t="array" aca="1" ref="N355:AE355" ca="1">IF(OR(B355="",NOT($J$2)),"",GetStripDefaultProbability(A355,B355,Parameter_Date,CDSRollDate,E355:M355,SpreadCurveMaturities,D355,C355,$J$4,$J$6))</f>
        <v>0</v>
      </c>
      <c r="O355" s="165">
        <f ca="1"/>
        <v>9.8871473881068095E-4</v>
      </c>
      <c r="P355" s="165">
        <f ca="1"/>
        <v>2.9935007937744729E-3</v>
      </c>
      <c r="Q355" s="165">
        <f ca="1"/>
        <v>6.940038575177776E-3</v>
      </c>
      <c r="R355" s="165">
        <f ca="1"/>
        <v>1.3104470904719334E-2</v>
      </c>
      <c r="S355" s="165">
        <f ca="1"/>
        <v>0</v>
      </c>
      <c r="T355" s="165">
        <f ca="1"/>
        <v>3.0967118620402023E-2</v>
      </c>
      <c r="U355" s="165">
        <f ca="1"/>
        <v>4.9729455267241263E-2</v>
      </c>
      <c r="V355" s="140">
        <f ca="1"/>
        <v>7.8022638441885284E-2</v>
      </c>
      <c r="W355" s="139">
        <f ca="1"/>
        <v>0</v>
      </c>
      <c r="X355" s="165">
        <f ca="1"/>
        <v>1.0819371271734157E-3</v>
      </c>
      <c r="Y355" s="165">
        <f ca="1"/>
        <v>3.1596546971001116E-3</v>
      </c>
      <c r="Z355" s="165">
        <f ca="1"/>
        <v>7.2726579454025497E-3</v>
      </c>
      <c r="AA355" s="165">
        <f ca="1"/>
        <v>1.3754662477338253E-2</v>
      </c>
      <c r="AB355" s="165">
        <f ca="1"/>
        <v>0</v>
      </c>
      <c r="AC355" s="165">
        <f ca="1"/>
        <v>3.2492221153927692E-2</v>
      </c>
      <c r="AD355" s="165">
        <f ca="1"/>
        <v>5.2160156819239134E-2</v>
      </c>
      <c r="AE355" s="140">
        <f ca="1"/>
        <v>8.1777423572396479E-2</v>
      </c>
      <c r="AH355" s="137">
        <v>1E-3</v>
      </c>
      <c r="AI355" s="137">
        <v>3.0000000000000001E-3</v>
      </c>
      <c r="AJ355" s="137">
        <v>6.8999999999999999E-3</v>
      </c>
      <c r="AK355" s="137">
        <v>1.2999999999999999E-2</v>
      </c>
      <c r="AM355" s="137">
        <v>3.09E-2</v>
      </c>
      <c r="AN355" s="137">
        <v>4.9599999999999998E-2</v>
      </c>
      <c r="AO355" s="137">
        <v>7.7899999999999997E-2</v>
      </c>
      <c r="AQ355" s="137">
        <v>1E-3</v>
      </c>
      <c r="AR355" s="137">
        <v>3.0999999999999999E-3</v>
      </c>
      <c r="AS355" s="137">
        <v>7.1999999999999998E-3</v>
      </c>
      <c r="AT355" s="137">
        <v>1.37E-2</v>
      </c>
      <c r="AV355" s="137">
        <v>3.2399999999999998E-2</v>
      </c>
      <c r="AW355" s="137">
        <v>5.21E-2</v>
      </c>
      <c r="AX355" s="137">
        <v>8.1699999999999995E-2</v>
      </c>
    </row>
    <row r="356" spans="1:50" s="79" customFormat="1" ht="10.199999999999999" x14ac:dyDescent="0.2">
      <c r="A356" s="97">
        <f t="shared" ca="1" si="7"/>
        <v>345</v>
      </c>
      <c r="B356" s="68" t="s">
        <v>414</v>
      </c>
      <c r="C356" s="98">
        <v>0.2</v>
      </c>
      <c r="D356" s="69" t="s">
        <v>66</v>
      </c>
      <c r="E356" s="138" t="s">
        <v>87</v>
      </c>
      <c r="F356" s="158">
        <v>1.09E-3</v>
      </c>
      <c r="G356" s="158">
        <v>1.56E-3</v>
      </c>
      <c r="H356" s="158">
        <v>2.1900000000000001E-3</v>
      </c>
      <c r="I356" s="158">
        <v>2.7299999999999998E-3</v>
      </c>
      <c r="J356" s="158" t="s">
        <v>87</v>
      </c>
      <c r="K356" s="158">
        <v>3.5000000000000001E-3</v>
      </c>
      <c r="L356" s="158">
        <v>4.0000000000000001E-3</v>
      </c>
      <c r="M356" s="158">
        <v>4.5999999999999999E-3</v>
      </c>
      <c r="N356" s="139" cm="1">
        <f t="array" aca="1" ref="N356:AE356" ca="1">IF(OR(B356="",NOT($J$2)),"",GetStripDefaultProbability(A356,B356,Parameter_Date,CDSRollDate,E356:M356,SpreadCurveMaturities,D356,C356,$J$4,$J$6))</f>
        <v>0</v>
      </c>
      <c r="O356" s="165">
        <f ca="1"/>
        <v>7.6260900312974389E-4</v>
      </c>
      <c r="P356" s="165">
        <f ca="1"/>
        <v>2.0712374763389718E-3</v>
      </c>
      <c r="Q356" s="165">
        <f ca="1"/>
        <v>5.6886436546079722E-3</v>
      </c>
      <c r="R356" s="165">
        <f ca="1"/>
        <v>1.0583749200884229E-2</v>
      </c>
      <c r="S356" s="165">
        <f ca="1"/>
        <v>0</v>
      </c>
      <c r="T356" s="165">
        <f ca="1"/>
        <v>2.2549270091849816E-2</v>
      </c>
      <c r="U356" s="165">
        <f ca="1"/>
        <v>3.601282469825573E-2</v>
      </c>
      <c r="V356" s="140">
        <f ca="1"/>
        <v>5.9191075800338999E-2</v>
      </c>
      <c r="W356" s="139">
        <f ca="1"/>
        <v>0</v>
      </c>
      <c r="X356" s="165">
        <f ca="1"/>
        <v>8.3254279957489796E-4</v>
      </c>
      <c r="Y356" s="165">
        <f ca="1"/>
        <v>2.1959707756558089E-3</v>
      </c>
      <c r="Z356" s="165">
        <f ca="1"/>
        <v>5.9607991354264644E-3</v>
      </c>
      <c r="AA356" s="165">
        <f ca="1"/>
        <v>1.1109372815146901E-2</v>
      </c>
      <c r="AB356" s="165">
        <f ca="1"/>
        <v>0</v>
      </c>
      <c r="AC356" s="165">
        <f ca="1"/>
        <v>2.3663706951731256E-2</v>
      </c>
      <c r="AD356" s="165">
        <f ca="1"/>
        <v>3.7783148638046549E-2</v>
      </c>
      <c r="AE356" s="140">
        <f ca="1"/>
        <v>6.2066914661441208E-2</v>
      </c>
      <c r="AH356" s="137">
        <v>6.9999999999999999E-4</v>
      </c>
      <c r="AI356" s="137">
        <v>2E-3</v>
      </c>
      <c r="AJ356" s="137">
        <v>5.5999999999999999E-3</v>
      </c>
      <c r="AK356" s="137">
        <v>1.0500000000000001E-2</v>
      </c>
      <c r="AM356" s="137">
        <v>2.2499999999999999E-2</v>
      </c>
      <c r="AN356" s="137">
        <v>3.5900000000000001E-2</v>
      </c>
      <c r="AO356" s="137">
        <v>5.91E-2</v>
      </c>
      <c r="AQ356" s="137">
        <v>8.0000000000000004E-4</v>
      </c>
      <c r="AR356" s="137">
        <v>2.2000000000000001E-3</v>
      </c>
      <c r="AS356" s="137">
        <v>5.8999999999999999E-3</v>
      </c>
      <c r="AT356" s="137">
        <v>1.11E-2</v>
      </c>
      <c r="AV356" s="137">
        <v>2.3599999999999999E-2</v>
      </c>
      <c r="AW356" s="137">
        <v>3.7699999999999997E-2</v>
      </c>
      <c r="AX356" s="137">
        <v>6.2E-2</v>
      </c>
    </row>
    <row r="357" spans="1:50" s="79" customFormat="1" ht="10.199999999999999" x14ac:dyDescent="0.2">
      <c r="A357" s="97">
        <f t="shared" ca="1" si="7"/>
        <v>346</v>
      </c>
      <c r="B357" s="68" t="s">
        <v>415</v>
      </c>
      <c r="C357" s="98">
        <v>0.4</v>
      </c>
      <c r="D357" s="69" t="s">
        <v>66</v>
      </c>
      <c r="E357" s="138" t="s">
        <v>87</v>
      </c>
      <c r="F357" s="158">
        <v>1.74E-3</v>
      </c>
      <c r="G357" s="158">
        <v>2.0899999999999998E-3</v>
      </c>
      <c r="H357" s="158">
        <v>2.7799999999999999E-3</v>
      </c>
      <c r="I357" s="158">
        <v>3.3300000000000001E-3</v>
      </c>
      <c r="J357" s="158" t="s">
        <v>87</v>
      </c>
      <c r="K357" s="158">
        <v>4.0000000000000001E-3</v>
      </c>
      <c r="L357" s="158">
        <v>4.45E-3</v>
      </c>
      <c r="M357" s="158">
        <v>5.0000000000000001E-3</v>
      </c>
      <c r="N357" s="139" cm="1">
        <f t="array" aca="1" ref="N357:AE357" ca="1">IF(OR(B357="",NOT($J$2)),"",GetStripDefaultProbability(A357,B357,Parameter_Date,CDSRollDate,E357:M357,SpreadCurveMaturities,D357,C357,$J$4,$J$6))</f>
        <v>0</v>
      </c>
      <c r="O357" s="165">
        <f ca="1"/>
        <v>1.6224710336818493E-3</v>
      </c>
      <c r="P357" s="165">
        <f ca="1"/>
        <v>3.6906568835533005E-3</v>
      </c>
      <c r="Q357" s="165">
        <f ca="1"/>
        <v>9.5969451425710339E-3</v>
      </c>
      <c r="R357" s="165">
        <f ca="1"/>
        <v>1.7126583859408129E-2</v>
      </c>
      <c r="S357" s="165">
        <f ca="1"/>
        <v>0</v>
      </c>
      <c r="T357" s="165">
        <f ca="1"/>
        <v>3.4033215808646156E-2</v>
      </c>
      <c r="U357" s="165">
        <f ca="1"/>
        <v>5.2726359164234959E-2</v>
      </c>
      <c r="V357" s="140">
        <f ca="1"/>
        <v>8.4232953045433212E-2</v>
      </c>
      <c r="W357" s="139">
        <f ca="1"/>
        <v>0</v>
      </c>
      <c r="X357" s="165">
        <f ca="1"/>
        <v>1.7156307085042233E-3</v>
      </c>
      <c r="Y357" s="165">
        <f ca="1"/>
        <v>3.864165650643292E-3</v>
      </c>
      <c r="Z357" s="165">
        <f ca="1"/>
        <v>1.0074648467444658E-2</v>
      </c>
      <c r="AA357" s="165">
        <f ca="1"/>
        <v>1.7976352860403222E-2</v>
      </c>
      <c r="AB357" s="165">
        <f ca="1"/>
        <v>0</v>
      </c>
      <c r="AC357" s="165">
        <f ca="1"/>
        <v>3.5706761945417553E-2</v>
      </c>
      <c r="AD357" s="165">
        <f ca="1"/>
        <v>5.5297459343460753E-2</v>
      </c>
      <c r="AE357" s="140">
        <f ca="1"/>
        <v>8.8270875976955154E-2</v>
      </c>
      <c r="AH357" s="137">
        <v>1.6000000000000001E-3</v>
      </c>
      <c r="AI357" s="137">
        <v>3.5999999999999999E-3</v>
      </c>
      <c r="AJ357" s="137">
        <v>9.4999999999999998E-3</v>
      </c>
      <c r="AK357" s="137">
        <v>1.7000000000000001E-2</v>
      </c>
      <c r="AM357" s="137">
        <v>3.39E-2</v>
      </c>
      <c r="AN357" s="137">
        <v>5.2600000000000001E-2</v>
      </c>
      <c r="AO357" s="137">
        <v>8.4099999999999994E-2</v>
      </c>
      <c r="AQ357" s="137">
        <v>1.6999999999999999E-3</v>
      </c>
      <c r="AR357" s="137">
        <v>3.8E-3</v>
      </c>
      <c r="AS357" s="137">
        <v>0.01</v>
      </c>
      <c r="AT357" s="137">
        <v>1.7899999999999999E-2</v>
      </c>
      <c r="AV357" s="137">
        <v>3.56E-2</v>
      </c>
      <c r="AW357" s="137">
        <v>5.5199999999999999E-2</v>
      </c>
      <c r="AX357" s="137">
        <v>8.8099999999999998E-2</v>
      </c>
    </row>
    <row r="358" spans="1:50" s="79" customFormat="1" ht="10.199999999999999" x14ac:dyDescent="0.2">
      <c r="A358" s="97">
        <f t="shared" ca="1" si="7"/>
        <v>347</v>
      </c>
      <c r="B358" s="68" t="s">
        <v>416</v>
      </c>
      <c r="C358" s="98">
        <v>0.2</v>
      </c>
      <c r="D358" s="69" t="s">
        <v>66</v>
      </c>
      <c r="E358" s="138" t="s">
        <v>87</v>
      </c>
      <c r="F358" s="158">
        <v>1.42E-3</v>
      </c>
      <c r="G358" s="158">
        <v>1.8400000000000001E-3</v>
      </c>
      <c r="H358" s="158">
        <v>2.5500000000000002E-3</v>
      </c>
      <c r="I358" s="158">
        <v>3.3500000000000001E-3</v>
      </c>
      <c r="J358" s="158" t="s">
        <v>87</v>
      </c>
      <c r="K358" s="158">
        <v>4.7999999999999996E-3</v>
      </c>
      <c r="L358" s="158">
        <v>5.4999999999999997E-3</v>
      </c>
      <c r="M358" s="158">
        <v>6.0000000000000001E-3</v>
      </c>
      <c r="N358" s="139" cm="1">
        <f t="array" aca="1" ref="N358:AE358" ca="1">IF(OR(B358="",NOT($J$2)),"",GetStripDefaultProbability(A358,B358,Parameter_Date,CDSRollDate,E358:M358,SpreadCurveMaturities,D358,C358,$J$4,$J$6))</f>
        <v>0</v>
      </c>
      <c r="O358" s="165">
        <f ca="1"/>
        <v>9.9337617569206227E-4</v>
      </c>
      <c r="P358" s="165">
        <f ca="1"/>
        <v>2.4402529356900571E-3</v>
      </c>
      <c r="Q358" s="165">
        <f ca="1"/>
        <v>6.6174245970986867E-3</v>
      </c>
      <c r="R358" s="165">
        <f ca="1"/>
        <v>1.2994427923436636E-2</v>
      </c>
      <c r="S358" s="165">
        <f ca="1"/>
        <v>0</v>
      </c>
      <c r="T358" s="165">
        <f ca="1"/>
        <v>3.1015365957147489E-2</v>
      </c>
      <c r="U358" s="165">
        <f ca="1"/>
        <v>4.9454512109724957E-2</v>
      </c>
      <c r="V358" s="140">
        <f ca="1"/>
        <v>7.6204094604041317E-2</v>
      </c>
      <c r="W358" s="139">
        <f ca="1"/>
        <v>0</v>
      </c>
      <c r="X358" s="165">
        <f ca="1"/>
        <v>1.0632929803825464E-3</v>
      </c>
      <c r="Y358" s="165">
        <f ca="1"/>
        <v>2.5649401109661962E-3</v>
      </c>
      <c r="Z358" s="165">
        <f ca="1"/>
        <v>6.9340148337595497E-3</v>
      </c>
      <c r="AA358" s="165">
        <f ca="1"/>
        <v>1.3640511986260484E-2</v>
      </c>
      <c r="AB358" s="165">
        <f ca="1"/>
        <v>0</v>
      </c>
      <c r="AC358" s="165">
        <f ca="1"/>
        <v>3.2544325083845749E-2</v>
      </c>
      <c r="AD358" s="165">
        <f ca="1"/>
        <v>5.1873535511338997E-2</v>
      </c>
      <c r="AE358" s="140">
        <f ca="1"/>
        <v>7.9875203002502615E-2</v>
      </c>
      <c r="AH358" s="137">
        <v>1E-3</v>
      </c>
      <c r="AI358" s="137">
        <v>2.3999999999999998E-3</v>
      </c>
      <c r="AJ358" s="137">
        <v>6.6E-3</v>
      </c>
      <c r="AK358" s="137">
        <v>1.29E-2</v>
      </c>
      <c r="AM358" s="137">
        <v>3.09E-2</v>
      </c>
      <c r="AN358" s="137">
        <v>4.9399999999999999E-2</v>
      </c>
      <c r="AO358" s="137">
        <v>7.6100000000000001E-2</v>
      </c>
      <c r="AQ358" s="137">
        <v>1E-3</v>
      </c>
      <c r="AR358" s="137">
        <v>2.5000000000000001E-3</v>
      </c>
      <c r="AS358" s="137">
        <v>6.8999999999999999E-3</v>
      </c>
      <c r="AT358" s="137">
        <v>1.3599999999999999E-2</v>
      </c>
      <c r="AV358" s="137">
        <v>3.2500000000000001E-2</v>
      </c>
      <c r="AW358" s="137">
        <v>5.1799999999999999E-2</v>
      </c>
      <c r="AX358" s="137">
        <v>7.9799999999999996E-2</v>
      </c>
    </row>
    <row r="359" spans="1:50" s="79" customFormat="1" ht="10.199999999999999" x14ac:dyDescent="0.2">
      <c r="A359" s="97">
        <f t="shared" ca="1" si="7"/>
        <v>348</v>
      </c>
      <c r="B359" s="68" t="s">
        <v>417</v>
      </c>
      <c r="C359" s="98">
        <v>0.2</v>
      </c>
      <c r="D359" s="69" t="s">
        <v>67</v>
      </c>
      <c r="E359" s="138" t="s">
        <v>87</v>
      </c>
      <c r="F359" s="158" t="s">
        <v>87</v>
      </c>
      <c r="G359" s="158">
        <v>1.4400000000000001E-3</v>
      </c>
      <c r="H359" s="158" t="s">
        <v>87</v>
      </c>
      <c r="I359" s="158">
        <v>2.2910000000000001E-3</v>
      </c>
      <c r="J359" s="158" t="s">
        <v>87</v>
      </c>
      <c r="K359" s="158">
        <v>3.5999999999999999E-3</v>
      </c>
      <c r="L359" s="158">
        <v>4.5820000000000001E-3</v>
      </c>
      <c r="M359" s="158">
        <v>5.5259999999999997E-3</v>
      </c>
      <c r="N359" s="139" cm="1">
        <f t="array" aca="1" ref="N359:AE359" ca="1">IF(OR(B359="",NOT($J$2)),"",GetStripDefaultProbability(A359,B359,Parameter_Date,CDSRollDate,E359:M359,SpreadCurveMaturities,D359,C359,$J$4,$J$6))</f>
        <v>0</v>
      </c>
      <c r="O359" s="165">
        <f ca="1"/>
        <v>0</v>
      </c>
      <c r="P359" s="165">
        <f ca="1"/>
        <v>1.9045234887991036E-3</v>
      </c>
      <c r="Q359" s="165">
        <f ca="1"/>
        <v>0</v>
      </c>
      <c r="R359" s="165">
        <f ca="1"/>
        <v>8.8432543630828642E-3</v>
      </c>
      <c r="S359" s="165">
        <f ca="1"/>
        <v>0</v>
      </c>
      <c r="T359" s="165">
        <f ca="1"/>
        <v>2.3402047576051799E-2</v>
      </c>
      <c r="U359" s="165">
        <f ca="1"/>
        <v>4.1930554382516361E-2</v>
      </c>
      <c r="V359" s="140">
        <f ca="1"/>
        <v>7.2345284310824876E-2</v>
      </c>
      <c r="W359" s="139">
        <f ca="1"/>
        <v>0</v>
      </c>
      <c r="X359" s="165">
        <f ca="1"/>
        <v>0</v>
      </c>
      <c r="Y359" s="165">
        <f ca="1"/>
        <v>2.0292776260510959E-3</v>
      </c>
      <c r="Z359" s="165">
        <f ca="1"/>
        <v>0</v>
      </c>
      <c r="AA359" s="165">
        <f ca="1"/>
        <v>9.268926699616431E-3</v>
      </c>
      <c r="AB359" s="165">
        <f ca="1"/>
        <v>0</v>
      </c>
      <c r="AC359" s="165">
        <f ca="1"/>
        <v>2.4558684377330331E-2</v>
      </c>
      <c r="AD359" s="165">
        <f ca="1"/>
        <v>4.3989504693216053E-2</v>
      </c>
      <c r="AE359" s="140">
        <f ca="1"/>
        <v>7.5844036981889684E-2</v>
      </c>
      <c r="AI359" s="137">
        <v>1.9E-3</v>
      </c>
      <c r="AK359" s="137">
        <v>8.8000000000000005E-3</v>
      </c>
      <c r="AM359" s="137">
        <v>2.3300000000000001E-2</v>
      </c>
      <c r="AN359" s="137">
        <v>4.1799999999999997E-2</v>
      </c>
      <c r="AO359" s="137">
        <v>7.22E-2</v>
      </c>
      <c r="AR359" s="137">
        <v>2E-3</v>
      </c>
      <c r="AT359" s="137">
        <v>9.1999999999999998E-3</v>
      </c>
      <c r="AV359" s="137">
        <v>2.4500000000000001E-2</v>
      </c>
      <c r="AW359" s="137">
        <v>4.3900000000000002E-2</v>
      </c>
      <c r="AX359" s="137">
        <v>7.5700000000000003E-2</v>
      </c>
    </row>
    <row r="360" spans="1:50" s="79" customFormat="1" ht="10.199999999999999" x14ac:dyDescent="0.2">
      <c r="A360" s="97">
        <f t="shared" ca="1" si="7"/>
        <v>349</v>
      </c>
      <c r="B360" s="68" t="s">
        <v>418</v>
      </c>
      <c r="C360" s="98">
        <v>0.4</v>
      </c>
      <c r="D360" s="69" t="s">
        <v>67</v>
      </c>
      <c r="E360" s="138" t="s">
        <v>87</v>
      </c>
      <c r="F360" s="158" t="s">
        <v>87</v>
      </c>
      <c r="G360" s="158">
        <v>3.7332999999999998E-2</v>
      </c>
      <c r="H360" s="158" t="s">
        <v>87</v>
      </c>
      <c r="I360" s="158">
        <v>3.1806000000000001E-2</v>
      </c>
      <c r="J360" s="158" t="s">
        <v>87</v>
      </c>
      <c r="K360" s="158">
        <v>2.8000000000000001E-2</v>
      </c>
      <c r="L360" s="158">
        <v>2.4181999999999999E-2</v>
      </c>
      <c r="M360" s="158">
        <v>2.0872999999999999E-2</v>
      </c>
      <c r="N360" s="139" cm="1">
        <f t="array" aca="1" ref="N360:AE360" ca="1">IF(OR(B360="",NOT($J$2)),"",GetStripDefaultProbability(A360,B360,Parameter_Date,CDSRollDate,E360:M360,SpreadCurveMaturities,D360,C360,$J$4,$J$6))</f>
        <v>0</v>
      </c>
      <c r="O360" s="165">
        <f ca="1"/>
        <v>0</v>
      </c>
      <c r="P360" s="165">
        <f ca="1"/>
        <v>6.377120746210263E-2</v>
      </c>
      <c r="Q360" s="165">
        <f ca="1"/>
        <v>0</v>
      </c>
      <c r="R360" s="165">
        <f ca="1"/>
        <v>0.14898463665434269</v>
      </c>
      <c r="S360" s="165">
        <f ca="1"/>
        <v>0</v>
      </c>
      <c r="T360" s="165">
        <f ca="1"/>
        <v>0.20614223323607184</v>
      </c>
      <c r="U360" s="165">
        <f ca="1"/>
        <v>0.23529529228132084</v>
      </c>
      <c r="V360" s="140">
        <f ca="1"/>
        <v>0.27027984360805091</v>
      </c>
      <c r="W360" s="139">
        <f ca="1"/>
        <v>0</v>
      </c>
      <c r="X360" s="165">
        <f ca="1"/>
        <v>0</v>
      </c>
      <c r="Y360" s="165">
        <f ca="1"/>
        <v>6.6850711956978448E-2</v>
      </c>
      <c r="Z360" s="165">
        <f ca="1"/>
        <v>0</v>
      </c>
      <c r="AA360" s="165">
        <f ca="1"/>
        <v>0.1557816533102655</v>
      </c>
      <c r="AB360" s="165">
        <f ca="1"/>
        <v>0</v>
      </c>
      <c r="AC360" s="165">
        <f ca="1"/>
        <v>0.21510318064196576</v>
      </c>
      <c r="AD360" s="165">
        <f ca="1"/>
        <v>0.24511031132242811</v>
      </c>
      <c r="AE360" s="140">
        <f ca="1"/>
        <v>0.28106345489133466</v>
      </c>
      <c r="AI360" s="137">
        <v>6.3E-2</v>
      </c>
      <c r="AK360" s="137">
        <v>0.1484</v>
      </c>
      <c r="AM360" s="137">
        <v>0.20569999999999999</v>
      </c>
      <c r="AN360" s="137">
        <v>0.23499999999999999</v>
      </c>
      <c r="AO360" s="137">
        <v>0.27010000000000001</v>
      </c>
      <c r="AR360" s="137">
        <v>6.6000000000000003E-2</v>
      </c>
      <c r="AT360" s="137">
        <v>0.1552</v>
      </c>
      <c r="AV360" s="137">
        <v>0.21460000000000001</v>
      </c>
      <c r="AW360" s="137">
        <v>0.24479999999999999</v>
      </c>
      <c r="AX360" s="137">
        <v>0.28079999999999999</v>
      </c>
    </row>
    <row r="361" spans="1:50" s="79" customFormat="1" ht="10.199999999999999" x14ac:dyDescent="0.2">
      <c r="A361" s="159">
        <f t="shared" ca="1" si="7"/>
        <v>350</v>
      </c>
      <c r="B361" s="160" t="s">
        <v>419</v>
      </c>
      <c r="C361" s="161">
        <v>0.4</v>
      </c>
      <c r="D361" s="162" t="s">
        <v>67</v>
      </c>
      <c r="E361" s="163" t="s">
        <v>87</v>
      </c>
      <c r="F361" s="164" t="s">
        <v>87</v>
      </c>
      <c r="G361" s="164">
        <v>1.75E-3</v>
      </c>
      <c r="H361" s="164" t="s">
        <v>87</v>
      </c>
      <c r="I361" s="164">
        <v>2.7499999999999998E-3</v>
      </c>
      <c r="J361" s="164" t="s">
        <v>87</v>
      </c>
      <c r="K361" s="164">
        <v>3.3999999999999998E-3</v>
      </c>
      <c r="L361" s="164">
        <v>3.4499999999999999E-3</v>
      </c>
      <c r="M361" s="164">
        <v>3.5999999999999999E-3</v>
      </c>
      <c r="N361" s="139" cm="1">
        <f t="array" aca="1" ref="N361:AE361" ca="1">IF(OR(B361="",NOT($J$2)),"",GetStripDefaultProbability(A361,B361,Parameter_Date,CDSRollDate,E361:M361,SpreadCurveMaturities,D361,C361,$J$4,$J$6))</f>
        <v>0</v>
      </c>
      <c r="O361" s="165">
        <f ca="1"/>
        <v>0</v>
      </c>
      <c r="P361" s="165">
        <f ca="1"/>
        <v>3.0842240279745914E-3</v>
      </c>
      <c r="Q361" s="165">
        <f ca="1"/>
        <v>0</v>
      </c>
      <c r="R361" s="165">
        <f ca="1"/>
        <v>1.4118257112614163E-2</v>
      </c>
      <c r="S361" s="165">
        <f ca="1"/>
        <v>0</v>
      </c>
      <c r="T361" s="165">
        <f ca="1"/>
        <v>2.9015444485822606E-2</v>
      </c>
      <c r="U361" s="165">
        <f ca="1"/>
        <v>4.0684804679405606E-2</v>
      </c>
      <c r="V361" s="140">
        <f ca="1"/>
        <v>6.0177874126816411E-2</v>
      </c>
      <c r="W361" s="139">
        <f ca="1"/>
        <v>0</v>
      </c>
      <c r="X361" s="165">
        <f ca="1"/>
        <v>0</v>
      </c>
      <c r="Y361" s="165">
        <f ca="1"/>
        <v>3.2503628120066352E-3</v>
      </c>
      <c r="Z361" s="165">
        <f ca="1"/>
        <v>0</v>
      </c>
      <c r="AA361" s="165">
        <f ca="1"/>
        <v>1.4817639660339998E-2</v>
      </c>
      <c r="AB361" s="165">
        <f ca="1"/>
        <v>0</v>
      </c>
      <c r="AC361" s="165">
        <f ca="1"/>
        <v>3.0444653663415422E-2</v>
      </c>
      <c r="AD361" s="165">
        <f ca="1"/>
        <v>4.2677370771033618E-2</v>
      </c>
      <c r="AE361" s="140">
        <f ca="1"/>
        <v>6.3091593047013839E-2</v>
      </c>
      <c r="AI361" s="137">
        <v>3.0000000000000001E-3</v>
      </c>
      <c r="AK361" s="137">
        <v>1.41E-2</v>
      </c>
      <c r="AM361" s="137">
        <v>2.8899999999999999E-2</v>
      </c>
      <c r="AN361" s="137">
        <v>4.0599999999999997E-2</v>
      </c>
      <c r="AO361" s="137">
        <v>6.0100000000000001E-2</v>
      </c>
      <c r="AR361" s="137">
        <v>3.2000000000000002E-3</v>
      </c>
      <c r="AT361" s="137">
        <v>1.47E-2</v>
      </c>
      <c r="AV361" s="137">
        <v>3.04E-2</v>
      </c>
      <c r="AW361" s="137">
        <v>4.2599999999999999E-2</v>
      </c>
      <c r="AX361" s="137">
        <v>6.3E-2</v>
      </c>
    </row>
  </sheetData>
  <mergeCells count="8">
    <mergeCell ref="W9:AE9"/>
    <mergeCell ref="C6:D6"/>
    <mergeCell ref="C7:D7"/>
    <mergeCell ref="G2:I2"/>
    <mergeCell ref="G4:I4"/>
    <mergeCell ref="G6:I6"/>
    <mergeCell ref="E9:M9"/>
    <mergeCell ref="N9:V9"/>
  </mergeCells>
  <dataValidations count="2">
    <dataValidation type="list" allowBlank="1" showInputMessage="1" showErrorMessage="1" sqref="J6" xr:uid="{39E80897-C78A-4154-A015-854266F04FAF}">
      <formula1>CurvePointsList</formula1>
    </dataValidation>
    <dataValidation type="list" allowBlank="1" showInputMessage="1" showErrorMessage="1" sqref="J4 C6:D6 J2" xr:uid="{C6149993-BB53-4AA1-8150-3B8DC7CBAD14}">
      <formula1>TrueFalseList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3" name="Button 4">
              <controlPr defaultSize="0" print="0" autoFill="0" autoPict="0" macro="[0]!CurrentRegionCalculate">
                <anchor moveWithCells="1" sizeWithCells="1">
                  <from>
                    <xdr:col>11</xdr:col>
                    <xdr:colOff>99060</xdr:colOff>
                    <xdr:row>3</xdr:row>
                    <xdr:rowOff>30480</xdr:rowOff>
                  </from>
                  <to>
                    <xdr:col>13</xdr:col>
                    <xdr:colOff>22860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EE13A-9798-452C-A3FB-9C257E7952AB}">
  <sheetPr codeName="Feuil6"/>
  <dimension ref="B2:K31"/>
  <sheetViews>
    <sheetView showGridLines="0" tabSelected="1" topLeftCell="A3" zoomScale="71" workbookViewId="0">
      <selection activeCell="F14" sqref="F14"/>
    </sheetView>
  </sheetViews>
  <sheetFormatPr baseColWidth="10" defaultRowHeight="14.4" x14ac:dyDescent="0.3"/>
  <cols>
    <col min="2" max="2" width="17.5546875" bestFit="1" customWidth="1"/>
    <col min="3" max="3" width="18.33203125" bestFit="1" customWidth="1"/>
    <col min="6" max="6" width="20" bestFit="1" customWidth="1"/>
    <col min="7" max="7" width="17.6640625" customWidth="1"/>
    <col min="8" max="9" width="20.88671875" bestFit="1" customWidth="1"/>
    <col min="10" max="10" width="14.88671875" bestFit="1" customWidth="1"/>
    <col min="11" max="11" width="18.33203125" bestFit="1" customWidth="1"/>
    <col min="13" max="13" width="18.44140625" bestFit="1" customWidth="1"/>
    <col min="14" max="14" width="15.44140625" bestFit="1" customWidth="1"/>
  </cols>
  <sheetData>
    <row r="2" spans="2:11" ht="15" thickBot="1" x14ac:dyDescent="0.35"/>
    <row r="3" spans="2:11" x14ac:dyDescent="0.3">
      <c r="C3" s="322" t="s">
        <v>456</v>
      </c>
      <c r="D3" s="323"/>
      <c r="E3" s="324"/>
    </row>
    <row r="4" spans="2:11" x14ac:dyDescent="0.3">
      <c r="C4" s="325"/>
      <c r="D4" s="326"/>
      <c r="E4" s="327"/>
    </row>
    <row r="5" spans="2:11" ht="15" thickBot="1" x14ac:dyDescent="0.35">
      <c r="C5" s="328"/>
      <c r="D5" s="329"/>
      <c r="E5" s="330"/>
    </row>
    <row r="6" spans="2:11" ht="15" thickBot="1" x14ac:dyDescent="0.35"/>
    <row r="7" spans="2:11" ht="16.2" thickBot="1" x14ac:dyDescent="0.35">
      <c r="B7" s="320" t="s">
        <v>454</v>
      </c>
      <c r="C7" s="321"/>
      <c r="D7" s="79"/>
      <c r="E7" s="320" t="s">
        <v>455</v>
      </c>
      <c r="F7" s="321"/>
      <c r="G7" s="79"/>
      <c r="H7" s="79"/>
      <c r="I7" s="79"/>
      <c r="J7" s="79"/>
      <c r="K7" s="79"/>
    </row>
    <row r="8" spans="2:11" ht="15" thickBot="1" x14ac:dyDescent="0.35">
      <c r="B8" s="85"/>
      <c r="C8" s="62">
        <v>1</v>
      </c>
      <c r="D8" s="79"/>
      <c r="E8" s="79"/>
      <c r="F8" s="79"/>
      <c r="G8" s="79"/>
      <c r="H8" s="79"/>
      <c r="I8" s="79"/>
      <c r="J8" s="79"/>
      <c r="K8" s="79"/>
    </row>
    <row r="9" spans="2:11" ht="15" thickBot="1" x14ac:dyDescent="0.35">
      <c r="B9" s="210" t="s">
        <v>431</v>
      </c>
      <c r="C9" s="224" t="s">
        <v>86</v>
      </c>
      <c r="D9" s="79"/>
      <c r="E9" s="210" t="s">
        <v>453</v>
      </c>
      <c r="F9" s="214" t="b">
        <v>1</v>
      </c>
      <c r="I9" s="79"/>
      <c r="J9" s="79"/>
      <c r="K9" s="289" t="s">
        <v>477</v>
      </c>
    </row>
    <row r="10" spans="2:11" x14ac:dyDescent="0.3">
      <c r="B10" s="211" t="s">
        <v>432</v>
      </c>
      <c r="C10" s="196" t="s">
        <v>57</v>
      </c>
      <c r="D10" s="79"/>
      <c r="E10" s="211" t="s">
        <v>433</v>
      </c>
      <c r="F10" s="215">
        <f ca="1">GetConvertDate(CDSRollDate,C10)</f>
        <v>47197</v>
      </c>
      <c r="I10" s="79"/>
      <c r="J10" s="79"/>
      <c r="K10" s="79" t="str">
        <f ca="1">RIGHT(K9,7-1)</f>
        <v>onjour</v>
      </c>
    </row>
    <row r="11" spans="2:11" ht="15" thickBot="1" x14ac:dyDescent="0.35">
      <c r="B11" s="211" t="s">
        <v>434</v>
      </c>
      <c r="C11" s="197">
        <v>0.01</v>
      </c>
      <c r="D11" s="79"/>
      <c r="E11" s="212" t="s">
        <v>425</v>
      </c>
      <c r="F11" s="216" t="str">
        <f ca="1">GetGetCDSName(C8)</f>
        <v>ABNAMRO_MMR.EUR.SU</v>
      </c>
      <c r="I11" s="79"/>
      <c r="J11" s="79"/>
      <c r="K11" s="79"/>
    </row>
    <row r="12" spans="2:11" ht="15" thickBot="1" x14ac:dyDescent="0.35">
      <c r="B12" s="212" t="s">
        <v>85</v>
      </c>
      <c r="C12" s="198">
        <v>0.4</v>
      </c>
      <c r="D12" s="79"/>
      <c r="E12" s="79"/>
      <c r="F12" s="79"/>
      <c r="G12" s="229"/>
      <c r="H12" s="79"/>
      <c r="I12" s="79"/>
      <c r="J12" s="79"/>
      <c r="K12" s="79"/>
    </row>
    <row r="13" spans="2:11" ht="15" thickBot="1" x14ac:dyDescent="0.35">
      <c r="B13" s="205"/>
      <c r="C13" s="79"/>
    </row>
    <row r="14" spans="2:11" x14ac:dyDescent="0.3">
      <c r="B14" s="210" t="s">
        <v>82</v>
      </c>
      <c r="C14" s="63" t="s">
        <v>66</v>
      </c>
      <c r="E14" s="231" t="s">
        <v>435</v>
      </c>
      <c r="F14" s="284" t="str">
        <f t="array" aca="1" ref="F14:K22" ca="1">IF(NOT($F$9),"",GetCDS(C9,C10,C11,C12,C18,C19,C20,C14,C15,C16,C22,C23,C25,C27:C29,C31))</f>
        <v>-0,0270570453302925</v>
      </c>
      <c r="G14" s="275" t="str">
        <f ca="1"/>
        <v>0</v>
      </c>
      <c r="H14" s="270" t="str">
        <f ca="1"/>
        <v>0</v>
      </c>
      <c r="I14" s="274" t="str">
        <f ca="1"/>
        <v>0</v>
      </c>
      <c r="J14" s="275" t="str">
        <f ca="1"/>
        <v>0</v>
      </c>
      <c r="K14" s="270" t="str">
        <f ca="1"/>
        <v>0</v>
      </c>
    </row>
    <row r="15" spans="2:11" x14ac:dyDescent="0.3">
      <c r="B15" s="211" t="s">
        <v>437</v>
      </c>
      <c r="C15" s="69">
        <v>0</v>
      </c>
      <c r="E15" s="232" t="s">
        <v>436</v>
      </c>
      <c r="F15" s="287" t="str">
        <f ca="1"/>
        <v>0,0180442872883659</v>
      </c>
      <c r="G15" s="277" t="str">
        <f ca="1"/>
        <v>0</v>
      </c>
      <c r="H15" s="271" t="str">
        <f ca="1"/>
        <v>0</v>
      </c>
      <c r="I15" s="276" t="str">
        <f ca="1"/>
        <v>0</v>
      </c>
      <c r="J15" s="277" t="str">
        <f ca="1"/>
        <v>0</v>
      </c>
      <c r="K15" s="271" t="str">
        <f ca="1"/>
        <v>0</v>
      </c>
    </row>
    <row r="16" spans="2:11" ht="15" thickBot="1" x14ac:dyDescent="0.35">
      <c r="B16" s="212" t="s">
        <v>439</v>
      </c>
      <c r="C16" s="199">
        <v>0</v>
      </c>
      <c r="E16" s="232" t="s">
        <v>438</v>
      </c>
      <c r="F16" s="287" t="str">
        <f ca="1"/>
        <v>0,0451013326186584</v>
      </c>
      <c r="G16" s="277" t="str">
        <f ca="1"/>
        <v>0</v>
      </c>
      <c r="H16" s="271" t="str">
        <f ca="1"/>
        <v>0</v>
      </c>
      <c r="I16" s="276" t="str">
        <f ca="1"/>
        <v>0</v>
      </c>
      <c r="J16" s="277" t="str">
        <f ca="1"/>
        <v>0</v>
      </c>
      <c r="K16" s="271" t="str">
        <f ca="1"/>
        <v>0</v>
      </c>
    </row>
    <row r="17" spans="2:11" ht="15" thickBot="1" x14ac:dyDescent="0.35">
      <c r="B17" s="205"/>
      <c r="C17" s="79"/>
      <c r="E17" s="232" t="s">
        <v>440</v>
      </c>
      <c r="F17" s="287" t="str">
        <f ca="1"/>
        <v>0,00400083240132488</v>
      </c>
      <c r="G17" s="277" t="str">
        <f ca="1"/>
        <v>0</v>
      </c>
      <c r="H17" s="271" t="str">
        <f ca="1"/>
        <v>0</v>
      </c>
      <c r="I17" s="276" t="str">
        <f ca="1"/>
        <v>0</v>
      </c>
      <c r="J17" s="277" t="str">
        <f ca="1"/>
        <v>0</v>
      </c>
      <c r="K17" s="271" t="str">
        <f ca="1"/>
        <v>0</v>
      </c>
    </row>
    <row r="18" spans="2:11" x14ac:dyDescent="0.3">
      <c r="B18" s="210" t="s">
        <v>442</v>
      </c>
      <c r="C18" s="63" t="s">
        <v>83</v>
      </c>
      <c r="E18" s="232" t="s">
        <v>441</v>
      </c>
      <c r="F18" s="287" t="str">
        <f ca="1"/>
        <v>4,51013326186584</v>
      </c>
      <c r="G18" s="279" t="str">
        <f ca="1"/>
        <v>0</v>
      </c>
      <c r="H18" s="271" t="str">
        <f ca="1"/>
        <v>0</v>
      </c>
      <c r="I18" s="278" t="str">
        <f ca="1"/>
        <v>0</v>
      </c>
      <c r="J18" s="279" t="str">
        <f ca="1"/>
        <v>0</v>
      </c>
      <c r="K18" s="271" t="str">
        <f ca="1"/>
        <v>0</v>
      </c>
    </row>
    <row r="19" spans="2:11" ht="15" thickBot="1" x14ac:dyDescent="0.35">
      <c r="B19" s="211" t="s">
        <v>444</v>
      </c>
      <c r="C19" s="69" t="s">
        <v>445</v>
      </c>
      <c r="E19" s="232" t="s">
        <v>443</v>
      </c>
      <c r="F19" s="288" t="str">
        <f ca="1"/>
        <v>00:00:00.0274622</v>
      </c>
      <c r="G19" s="281" t="str">
        <f ca="1"/>
        <v>0</v>
      </c>
      <c r="H19" s="271" t="str">
        <f ca="1"/>
        <v>0</v>
      </c>
      <c r="I19" s="280" t="str">
        <f ca="1"/>
        <v>0</v>
      </c>
      <c r="J19" s="281" t="str">
        <f ca="1"/>
        <v>0</v>
      </c>
      <c r="K19" s="271" t="str">
        <f ca="1"/>
        <v>0</v>
      </c>
    </row>
    <row r="20" spans="2:11" ht="15" thickBot="1" x14ac:dyDescent="0.35">
      <c r="B20" s="212" t="s">
        <v>446</v>
      </c>
      <c r="C20" s="223"/>
      <c r="E20" s="233"/>
      <c r="F20" s="272" t="str">
        <f ca="1"/>
        <v>dPV</v>
      </c>
      <c r="G20" s="272" t="str">
        <f ca="1"/>
        <v>dHedge</v>
      </c>
      <c r="H20" s="273" t="str">
        <f ca="1"/>
        <v>delta not. (Hedge Crncy)</v>
      </c>
      <c r="I20" s="272" t="str">
        <f ca="1"/>
        <v>delta not. (Product CCY)</v>
      </c>
      <c r="J20" s="272" t="str">
        <f ca="1"/>
        <v>dPV(dBeta)</v>
      </c>
      <c r="K20" s="273" t="str">
        <f ca="1"/>
        <v>Name</v>
      </c>
    </row>
    <row r="21" spans="2:11" ht="15" thickBot="1" x14ac:dyDescent="0.35">
      <c r="B21" s="205"/>
      <c r="C21" s="79"/>
      <c r="E21" s="234"/>
      <c r="F21" s="282" t="str">
        <f ca="1"/>
        <v>0,000918326856089947</v>
      </c>
      <c r="G21" s="282" t="str">
        <f ca="1"/>
        <v>0,000900175094033918</v>
      </c>
      <c r="H21" s="283" t="str">
        <f ca="1"/>
        <v>1,02016470148567</v>
      </c>
      <c r="I21" s="282" t="str">
        <f ca="1"/>
        <v>1,02016470148567</v>
      </c>
      <c r="J21" s="282" t="str">
        <f ca="1"/>
        <v>-0,0180442872883659</v>
      </c>
      <c r="K21" s="283" t="str">
        <f ca="1"/>
        <v>ABNAMRO_MMR.EUR.SU</v>
      </c>
    </row>
    <row r="22" spans="2:11" x14ac:dyDescent="0.3">
      <c r="B22" s="213" t="s">
        <v>447</v>
      </c>
      <c r="C22" s="200" t="b">
        <v>1</v>
      </c>
      <c r="F22" t="str">
        <f ca="1"/>
        <v/>
      </c>
      <c r="G22" t="str">
        <f ca="1"/>
        <v/>
      </c>
      <c r="H22" t="str">
        <f ca="1"/>
        <v/>
      </c>
      <c r="I22" t="str">
        <f ca="1"/>
        <v/>
      </c>
      <c r="J22" t="str">
        <f ca="1"/>
        <v/>
      </c>
      <c r="K22" t="str">
        <f ca="1"/>
        <v/>
      </c>
    </row>
    <row r="23" spans="2:11" ht="15" thickBot="1" x14ac:dyDescent="0.35">
      <c r="B23" s="212" t="s">
        <v>448</v>
      </c>
      <c r="C23" s="201" t="b">
        <v>1</v>
      </c>
    </row>
    <row r="24" spans="2:11" ht="15" thickBot="1" x14ac:dyDescent="0.35">
      <c r="B24" s="206"/>
      <c r="C24" s="85"/>
      <c r="D24" s="202"/>
      <c r="H24" s="285"/>
    </row>
    <row r="25" spans="2:11" ht="15" thickBot="1" x14ac:dyDescent="0.35">
      <c r="B25" s="182" t="s">
        <v>449</v>
      </c>
      <c r="C25" s="200" t="b">
        <v>1</v>
      </c>
      <c r="D25" s="85"/>
    </row>
    <row r="26" spans="2:11" ht="15" thickBot="1" x14ac:dyDescent="0.35">
      <c r="B26" s="208" t="s">
        <v>450</v>
      </c>
      <c r="C26" s="222"/>
      <c r="D26" s="85"/>
    </row>
    <row r="27" spans="2:11" x14ac:dyDescent="0.3">
      <c r="B27" s="208" t="s">
        <v>434</v>
      </c>
      <c r="C27" s="230"/>
      <c r="D27" s="85"/>
    </row>
    <row r="28" spans="2:11" x14ac:dyDescent="0.3">
      <c r="B28" s="208" t="s">
        <v>447</v>
      </c>
      <c r="C28" s="203" t="b">
        <v>1</v>
      </c>
      <c r="D28" s="85"/>
    </row>
    <row r="29" spans="2:11" ht="15" thickBot="1" x14ac:dyDescent="0.35">
      <c r="B29" s="209" t="s">
        <v>448</v>
      </c>
      <c r="C29" s="204" t="b">
        <v>1</v>
      </c>
      <c r="D29" s="85"/>
    </row>
    <row r="30" spans="2:11" ht="15" thickBot="1" x14ac:dyDescent="0.35">
      <c r="B30" s="207"/>
      <c r="C30" s="79"/>
      <c r="D30" s="85"/>
    </row>
    <row r="31" spans="2:11" ht="15" thickBot="1" x14ac:dyDescent="0.35">
      <c r="B31" s="182" t="s">
        <v>451</v>
      </c>
      <c r="C31" s="188" t="s">
        <v>452</v>
      </c>
      <c r="D31" s="85"/>
    </row>
  </sheetData>
  <mergeCells count="3">
    <mergeCell ref="B7:C7"/>
    <mergeCell ref="E7:F7"/>
    <mergeCell ref="C3:E5"/>
  </mergeCells>
  <conditionalFormatting sqref="F21 I21 G20:H21 J20:K21">
    <cfRule type="cellIs" dxfId="1" priority="5" stopIfTrue="1" operator="equal">
      <formula>#N/A</formula>
    </cfRule>
  </conditionalFormatting>
  <conditionalFormatting sqref="F20 I20">
    <cfRule type="cellIs" dxfId="0" priority="6" stopIfTrue="1" operator="equal">
      <formula>"""#N/A"""</formula>
    </cfRule>
  </conditionalFormatting>
  <dataValidations disablePrompts="1" count="5">
    <dataValidation type="list" allowBlank="1" showInputMessage="1" showErrorMessage="1" sqref="C31" xr:uid="{0C13862A-39AD-47FA-89AF-93F59AB662F7}">
      <formula1>"1m,3m"</formula1>
    </dataValidation>
    <dataValidation type="list" allowBlank="1" showInputMessage="1" showErrorMessage="1" sqref="F9 C22:C23 C25 C28:C29" xr:uid="{8ACA7841-144A-4E6F-BDE6-8069CD41B739}">
      <formula1>TrueFalseList</formula1>
    </dataValidation>
    <dataValidation type="list" allowBlank="1" showInputMessage="1" showErrorMessage="1" sqref="C14" xr:uid="{C2CB3166-7190-428D-B805-63B52A169A71}">
      <formula1>"EUR,JPY,USD"</formula1>
    </dataValidation>
    <dataValidation type="list" allowBlank="1" showInputMessage="1" showErrorMessage="1" sqref="C18" xr:uid="{0FE05A52-D66F-4DEF-985C-5E70A623C8DE}">
      <formula1>"3M,6M,1Y,1M"</formula1>
    </dataValidation>
    <dataValidation type="list" allowBlank="1" showInputMessage="1" showErrorMessage="1" sqref="C19" xr:uid="{6C79EA61-FE20-4151-8AE6-F9FA74FC1166}">
      <formula1>"ShortFirst,LongFirst,ShortLast,LongLast"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04" r:id="rId3" name="Button 12">
              <controlPr defaultSize="0" print="0" autoFill="0" autoPict="0" macro="[0]!CurrentRegionCalculate">
                <anchor moveWithCells="1" sizeWithCells="1">
                  <from>
                    <xdr:col>7</xdr:col>
                    <xdr:colOff>205740</xdr:colOff>
                    <xdr:row>6</xdr:row>
                    <xdr:rowOff>15240</xdr:rowOff>
                  </from>
                  <to>
                    <xdr:col>8</xdr:col>
                    <xdr:colOff>579120</xdr:colOff>
                    <xdr:row>8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02A50-AEF8-4FAD-B452-51BAEC61562E}">
  <sheetPr codeName="Feuil4"/>
  <dimension ref="B2:K130"/>
  <sheetViews>
    <sheetView showGridLines="0" zoomScale="99" zoomScaleNormal="99" workbookViewId="0">
      <selection activeCell="E16" sqref="E16"/>
    </sheetView>
  </sheetViews>
  <sheetFormatPr baseColWidth="10" defaultRowHeight="14.4" x14ac:dyDescent="0.3"/>
  <sheetData>
    <row r="2" spans="2:11" x14ac:dyDescent="0.3">
      <c r="I2" t="s">
        <v>475</v>
      </c>
      <c r="J2" s="286">
        <f ca="1">CDSRollDate</f>
        <v>45371</v>
      </c>
      <c r="K2" s="178">
        <f ca="1">DATE(YEAR(CDSRollDate),MONTH(CDSRollDate),DAY(CDSRollDate))</f>
        <v>45371</v>
      </c>
    </row>
    <row r="3" spans="2:11" x14ac:dyDescent="0.3">
      <c r="I3" t="s">
        <v>476</v>
      </c>
      <c r="J3" s="286">
        <f>Parameter_Date</f>
        <v>45352</v>
      </c>
      <c r="K3">
        <f ca="1">K2-J3</f>
        <v>19</v>
      </c>
    </row>
    <row r="4" spans="2:11" x14ac:dyDescent="0.3">
      <c r="K4">
        <f ca="1">K3/365</f>
        <v>5.2054794520547946E-2</v>
      </c>
    </row>
    <row r="5" spans="2:11" ht="15" thickBot="1" x14ac:dyDescent="0.35"/>
    <row r="6" spans="2:11" ht="15" thickBot="1" x14ac:dyDescent="0.35">
      <c r="B6" s="182" t="s">
        <v>423</v>
      </c>
      <c r="C6" s="188" t="b">
        <v>1</v>
      </c>
      <c r="H6" s="183" t="s">
        <v>424</v>
      </c>
      <c r="I6" s="331">
        <v>1</v>
      </c>
      <c r="J6" s="332"/>
      <c r="K6" s="333"/>
    </row>
    <row r="7" spans="2:11" ht="15" thickBot="1" x14ac:dyDescent="0.35">
      <c r="D7" s="172"/>
      <c r="H7" s="184" t="s">
        <v>425</v>
      </c>
      <c r="I7" s="334" t="e">
        <f ca="1">[3]!GetGetCDSName(I6)</f>
        <v>#NAME?</v>
      </c>
      <c r="J7" s="335"/>
      <c r="K7" s="336"/>
    </row>
    <row r="8" spans="2:11" ht="15" thickBot="1" x14ac:dyDescent="0.35"/>
    <row r="9" spans="2:11" ht="15" thickBot="1" x14ac:dyDescent="0.35">
      <c r="B9" s="175"/>
      <c r="C9" s="176" t="s">
        <v>426</v>
      </c>
      <c r="D9" s="177" t="s">
        <v>427</v>
      </c>
      <c r="E9" s="174" t="s">
        <v>428</v>
      </c>
    </row>
    <row r="10" spans="2:11" x14ac:dyDescent="0.3">
      <c r="B10" s="185" t="str">
        <f ca="1">ROW()-ROW($B$9)&amp;"M"</f>
        <v>1M</v>
      </c>
      <c r="C10" s="217">
        <f ca="1">MAX(0,(DATE(YEAR(CDSRollDate),MONTH(CDSRollDate)+ROW()-ROW($B$9),DAY(CDSRollDate))-Parameter_Date)/365)</f>
        <v>0.13698630136986301</v>
      </c>
      <c r="D10" s="179">
        <f ca="1">IF(NOT($C$6),"",IF(GetConvertDate(CDSRollDate,B10)&lt;Parameter_Date,0,GetGetDefaultprob($I$6,B10)))</f>
        <v>3.0566047307689637E-4</v>
      </c>
      <c r="E10" s="218">
        <f ca="1">IF(NOT($C$6),"",IF(C11=0,0,-LN(1-D11)/$C11))</f>
        <v>2.2316625363527315E-3</v>
      </c>
    </row>
    <row r="11" spans="2:11" x14ac:dyDescent="0.3">
      <c r="B11" s="186" t="str">
        <f t="shared" ref="B11:B74" ca="1" si="0">ROW()-ROW($B$9)&amp;"M"</f>
        <v>2M</v>
      </c>
      <c r="C11" s="219">
        <f ca="1">MAX(0,(DATE(YEAR(CDSRollDate),MONTH(CDSRollDate)+ROW()-ROW($B$9),DAY(CDSRollDate))-Parameter_Date)/365)</f>
        <v>0.21917808219178081</v>
      </c>
      <c r="D11" s="171">
        <f ca="1">IF(NOT($C$6),"",IF(GetConvertDate(CDSRollDate,B11)&lt;Parameter_Date,0,GetGetDefaultprob($I$6,B11)))</f>
        <v>4.8901190949934836E-4</v>
      </c>
      <c r="E11" s="180">
        <f ca="1">IF(NOT($C$6),"",IF(C11=0,0,-LN((1-D11)/(1-D10))/($C11-$C10)))</f>
        <v>2.2316625363540195E-3</v>
      </c>
      <c r="F11" s="166"/>
      <c r="G11" s="167"/>
    </row>
    <row r="12" spans="2:11" x14ac:dyDescent="0.3">
      <c r="B12" s="186" t="str">
        <f t="shared" ca="1" si="0"/>
        <v>3M</v>
      </c>
      <c r="C12" s="219">
        <f ca="1">MAX(0,(DATE(YEAR(CDSRollDate),MONTH(CDSRollDate)+ROW()-ROW($B$9),DAY(CDSRollDate))-Parameter_Date)/365)</f>
        <v>0.30410958904109592</v>
      </c>
      <c r="D12" s="171">
        <f ca="1">IF(NOT($C$6),"",IF(GetConvertDate(CDSRollDate,B12)&lt;Parameter_Date,0,GetGetDefaultprob($I$6,B12)))</f>
        <v>6.7843973242942557E-4</v>
      </c>
      <c r="E12" s="180">
        <f ca="1">IF(NOT($C$6),"",IF(C12=0,0,-LN((1-D12)/(1-D11))/($C12-$C11)))</f>
        <v>2.2316625363510032E-3</v>
      </c>
      <c r="F12" s="166"/>
      <c r="G12" s="167"/>
    </row>
    <row r="13" spans="2:11" x14ac:dyDescent="0.3">
      <c r="B13" s="186" t="str">
        <f t="shared" ca="1" si="0"/>
        <v>4M</v>
      </c>
      <c r="C13" s="219">
        <f t="shared" ref="C13:C41" ca="1" si="1">MAX(0,(DATE(YEAR(CDSRollDate),MONTH(CDSRollDate)+ROW()-ROW($B$9),DAY(CDSRollDate))-Parameter_Date)/365)</f>
        <v>0.38630136986301372</v>
      </c>
      <c r="D13" s="171">
        <f ca="1">IF(NOT($C$6),"",IF(GetConvertDate(CDSRollDate,B13)&lt;Parameter_Date,0,GetGetDefaultprob($I$6,B13)))</f>
        <v>8.6172279834095811E-4</v>
      </c>
      <c r="E13" s="180">
        <f t="shared" ref="E13:E75" ca="1" si="2">IF(NOT($C$6),"",IF(C13=0,0,-LN((1-D13)/(1-D12))/($C13-$C12)))</f>
        <v>2.2316625363526686E-3</v>
      </c>
      <c r="F13" s="166"/>
      <c r="G13" s="167"/>
    </row>
    <row r="14" spans="2:11" x14ac:dyDescent="0.3">
      <c r="B14" s="186" t="str">
        <f t="shared" ca="1" si="0"/>
        <v>5M</v>
      </c>
      <c r="C14" s="219">
        <f t="shared" ca="1" si="1"/>
        <v>0.47123287671232877</v>
      </c>
      <c r="D14" s="171">
        <f ca="1">IF(NOT($C$6),"",IF(GetConvertDate(CDSRollDate,B14)&lt;Parameter_Date,0,GetGetDefaultprob($I$6,B14)))</f>
        <v>1.0510799849168251E-3</v>
      </c>
      <c r="E14" s="180">
        <f t="shared" ca="1" si="2"/>
        <v>2.2316625363523121E-3</v>
      </c>
      <c r="F14" s="166"/>
      <c r="G14" s="167"/>
    </row>
    <row r="15" spans="2:11" x14ac:dyDescent="0.3">
      <c r="B15" s="186" t="str">
        <f t="shared" ca="1" si="0"/>
        <v>6M</v>
      </c>
      <c r="C15" s="219">
        <f t="shared" ca="1" si="1"/>
        <v>0.55616438356164388</v>
      </c>
      <c r="D15" s="171">
        <f ca="1">IF(NOT($C$6),"",IF(GetConvertDate(CDSRollDate,B15)&lt;Parameter_Date,0,GetGetDefaultprob($I$6,B15)))</f>
        <v>1.2404012844239309E-3</v>
      </c>
      <c r="E15" s="180">
        <f t="shared" ca="1" si="2"/>
        <v>2.2316625363523108E-3</v>
      </c>
      <c r="F15" s="166"/>
      <c r="G15" s="167"/>
    </row>
    <row r="16" spans="2:11" x14ac:dyDescent="0.3">
      <c r="B16" s="186" t="str">
        <f t="shared" ca="1" si="0"/>
        <v>7M</v>
      </c>
      <c r="C16" s="219">
        <f t="shared" ca="1" si="1"/>
        <v>0.63835616438356169</v>
      </c>
      <c r="D16" s="171">
        <f ca="1">IF(NOT($C$6),"",IF(GetConvertDate(CDSRollDate,B16)&lt;Parameter_Date,0,GetGetDefaultprob($I$6,B16)))</f>
        <v>1.6219194620369359E-3</v>
      </c>
      <c r="E16" s="180">
        <f t="shared" ca="1" si="2"/>
        <v>4.6484572385530627E-3</v>
      </c>
      <c r="F16" s="166"/>
      <c r="G16" s="167"/>
    </row>
    <row r="17" spans="2:7" x14ac:dyDescent="0.3">
      <c r="B17" s="186" t="str">
        <f t="shared" ca="1" si="0"/>
        <v>8M</v>
      </c>
      <c r="C17" s="219">
        <f t="shared" ca="1" si="1"/>
        <v>0.72328767123287674</v>
      </c>
      <c r="D17" s="171">
        <f ca="1">IF(NOT($C$6),"",IF(GetConvertDate(CDSRollDate,B17)&lt;Parameter_Date,0,GetGetDefaultprob($I$6,B17)))</f>
        <v>2.016001808185397E-3</v>
      </c>
      <c r="E17" s="180">
        <f t="shared" ca="1" si="2"/>
        <v>4.6484572385544218E-3</v>
      </c>
      <c r="F17" s="166"/>
      <c r="G17" s="167"/>
    </row>
    <row r="18" spans="2:7" x14ac:dyDescent="0.3">
      <c r="B18" s="186" t="str">
        <f t="shared" ca="1" si="0"/>
        <v>9M</v>
      </c>
      <c r="C18" s="219">
        <f t="shared" ca="1" si="1"/>
        <v>0.80547945205479454</v>
      </c>
      <c r="D18" s="171">
        <f ca="1">IF(NOT($C$6),"",IF(GetConvertDate(CDSRollDate,B18)&lt;Parameter_Date,0,GetGetDefaultprob($I$6,B18)))</f>
        <v>2.3972237126024254E-3</v>
      </c>
      <c r="E18" s="180">
        <f t="shared" ca="1" si="2"/>
        <v>4.648457238554414E-3</v>
      </c>
      <c r="F18" s="166"/>
      <c r="G18" s="167"/>
    </row>
    <row r="19" spans="2:7" x14ac:dyDescent="0.3">
      <c r="B19" s="186" t="str">
        <f t="shared" ca="1" si="0"/>
        <v>10M</v>
      </c>
      <c r="C19" s="219">
        <f t="shared" ca="1" si="1"/>
        <v>0.8904109589041096</v>
      </c>
      <c r="D19" s="171">
        <f ca="1">IF(NOT($C$6),"",IF(GetConvertDate(CDSRollDate,B19)&lt;Parameter_Date,0,GetGetDefaultprob($I$6,B19)))</f>
        <v>2.7910000286766046E-3</v>
      </c>
      <c r="E19" s="180">
        <f t="shared" ca="1" si="2"/>
        <v>4.6484572385531138E-3</v>
      </c>
      <c r="F19" s="166"/>
      <c r="G19" s="167"/>
    </row>
    <row r="20" spans="2:7" x14ac:dyDescent="0.3">
      <c r="B20" s="186" t="str">
        <f t="shared" ca="1" si="0"/>
        <v>11M</v>
      </c>
      <c r="C20" s="219">
        <f t="shared" ca="1" si="1"/>
        <v>0.97534246575342465</v>
      </c>
      <c r="D20" s="171">
        <f ca="1">IF(NOT($C$6),"",IF(GetConvertDate(CDSRollDate,B20)&lt;Parameter_Date,0,GetGetDefaultprob($I$6,B20)))</f>
        <v>3.1846209123574942E-3</v>
      </c>
      <c r="E20" s="180">
        <f t="shared" ca="1" si="2"/>
        <v>4.6484572385531138E-3</v>
      </c>
      <c r="F20" s="166"/>
      <c r="G20" s="167"/>
    </row>
    <row r="21" spans="2:7" x14ac:dyDescent="0.3">
      <c r="B21" s="186" t="str">
        <f t="shared" ca="1" si="0"/>
        <v>12M</v>
      </c>
      <c r="C21" s="219">
        <f t="shared" ca="1" si="1"/>
        <v>1.0520547945205478</v>
      </c>
      <c r="D21" s="171">
        <f ca="1">IF(NOT($C$6),"",IF(GetConvertDate(CDSRollDate,B21)&lt;Parameter_Date,0,GetGetDefaultprob($I$6,B21)))</f>
        <v>3.5400159060319236E-3</v>
      </c>
      <c r="E21" s="180">
        <f t="shared" ca="1" si="2"/>
        <v>4.6484572385527773E-3</v>
      </c>
      <c r="F21" s="166"/>
      <c r="G21" s="167"/>
    </row>
    <row r="22" spans="2:7" x14ac:dyDescent="0.3">
      <c r="B22" s="186" t="str">
        <f t="shared" ca="1" si="0"/>
        <v>13M</v>
      </c>
      <c r="C22" s="219">
        <f t="shared" ca="1" si="1"/>
        <v>1.1369863013698631</v>
      </c>
      <c r="D22" s="171">
        <f ca="1">IF(NOT($C$6),"",IF(GetConvertDate(CDSRollDate,B22)&lt;Parameter_Date,0,GetGetDefaultprob($I$6,B22)))</f>
        <v>4.0033917414554754E-3</v>
      </c>
      <c r="E22" s="180">
        <f t="shared" ca="1" si="2"/>
        <v>5.4765327297225672E-3</v>
      </c>
      <c r="F22" s="166"/>
      <c r="G22" s="167"/>
    </row>
    <row r="23" spans="2:7" x14ac:dyDescent="0.3">
      <c r="B23" s="186" t="str">
        <f t="shared" ca="1" si="0"/>
        <v>14M</v>
      </c>
      <c r="C23" s="219">
        <f t="shared" ca="1" si="1"/>
        <v>1.2191780821917808</v>
      </c>
      <c r="D23" s="171">
        <f ca="1">IF(NOT($C$6),"",IF(GetConvertDate(CDSRollDate,B23)&lt;Parameter_Date,0,GetGetDefaultprob($I$6,B23)))</f>
        <v>4.4516148026289004E-3</v>
      </c>
      <c r="E23" s="180">
        <f t="shared" ca="1" si="2"/>
        <v>5.4765327297218386E-3</v>
      </c>
      <c r="F23" s="166"/>
      <c r="G23" s="167"/>
    </row>
    <row r="24" spans="2:7" x14ac:dyDescent="0.3">
      <c r="B24" s="186" t="str">
        <f t="shared" ca="1" si="0"/>
        <v>15M</v>
      </c>
      <c r="C24" s="219">
        <f t="shared" ca="1" si="1"/>
        <v>1.3041095890410959</v>
      </c>
      <c r="D24" s="171">
        <f ca="1">IF(NOT($C$6),"",IF(GetConvertDate(CDSRollDate,B24)&lt;Parameter_Date,0,GetGetDefaultprob($I$6,B24)))</f>
        <v>4.9145667244913094E-3</v>
      </c>
      <c r="E24" s="180">
        <f t="shared" ca="1" si="2"/>
        <v>5.4765327297212731E-3</v>
      </c>
      <c r="F24" s="166"/>
      <c r="G24" s="167"/>
    </row>
    <row r="25" spans="2:7" x14ac:dyDescent="0.3">
      <c r="B25" s="186" t="str">
        <f t="shared" ca="1" si="0"/>
        <v>16M</v>
      </c>
      <c r="C25" s="219">
        <f t="shared" ca="1" si="1"/>
        <v>1.3863013698630138</v>
      </c>
      <c r="D25" s="171">
        <f ca="1">IF(NOT($C$6),"",IF(GetConvertDate(CDSRollDate,B25)&lt;Parameter_Date,0,GetGetDefaultprob($I$6,B25)))</f>
        <v>5.3623797344289903E-3</v>
      </c>
      <c r="E25" s="180">
        <f t="shared" ca="1" si="2"/>
        <v>5.4765327297231752E-3</v>
      </c>
      <c r="F25" s="166"/>
      <c r="G25" s="167"/>
    </row>
    <row r="26" spans="2:7" x14ac:dyDescent="0.3">
      <c r="B26" s="186" t="str">
        <f t="shared" ca="1" si="0"/>
        <v>17M</v>
      </c>
      <c r="C26" s="219">
        <f t="shared" ca="1" si="1"/>
        <v>1.4712328767123288</v>
      </c>
      <c r="D26" s="171">
        <f ca="1">IF(NOT($C$6),"",IF(GetConvertDate(CDSRollDate,B26)&lt;Parameter_Date,0,GetGetDefaultprob($I$6,B26)))</f>
        <v>5.8249081305424832E-3</v>
      </c>
      <c r="E26" s="180">
        <f t="shared" ca="1" si="2"/>
        <v>5.4765327297238891E-3</v>
      </c>
      <c r="F26" s="166"/>
      <c r="G26" s="167"/>
    </row>
    <row r="27" spans="2:7" x14ac:dyDescent="0.3">
      <c r="B27" s="186" t="str">
        <f t="shared" ca="1" si="0"/>
        <v>18M</v>
      </c>
      <c r="C27" s="219">
        <f t="shared" ca="1" si="1"/>
        <v>1.5561643835616439</v>
      </c>
      <c r="D27" s="171">
        <f ca="1">IF(NOT($C$6),"",IF(GetConvertDate(CDSRollDate,B27)&lt;Parameter_Date,0,GetGetDefaultprob($I$6,B27)))</f>
        <v>6.2872214407664329E-3</v>
      </c>
      <c r="E27" s="180">
        <f t="shared" ca="1" si="2"/>
        <v>5.4765327297212731E-3</v>
      </c>
      <c r="F27" s="166"/>
      <c r="G27" s="167"/>
    </row>
    <row r="28" spans="2:7" x14ac:dyDescent="0.3">
      <c r="B28" s="186" t="str">
        <f t="shared" ca="1" si="0"/>
        <v>19M</v>
      </c>
      <c r="C28" s="219">
        <f t="shared" ca="1" si="1"/>
        <v>1.6383561643835616</v>
      </c>
      <c r="D28" s="171">
        <f ca="1">IF(NOT($C$6),"",IF(GetConvertDate(CDSRollDate,B28)&lt;Parameter_Date,0,GetGetDefaultprob($I$6,B28)))</f>
        <v>6.7344167221959905E-3</v>
      </c>
      <c r="E28" s="180">
        <f t="shared" ca="1" si="2"/>
        <v>5.47653272972319E-3</v>
      </c>
      <c r="F28" s="166"/>
      <c r="G28" s="167"/>
    </row>
    <row r="29" spans="2:7" x14ac:dyDescent="0.3">
      <c r="B29" s="186" t="str">
        <f t="shared" ca="1" si="0"/>
        <v>20M</v>
      </c>
      <c r="C29" s="219">
        <f t="shared" ca="1" si="1"/>
        <v>1.7232876712328766</v>
      </c>
      <c r="D29" s="171">
        <f ca="1">IF(NOT($C$6),"",IF(GetConvertDate(CDSRollDate,B29)&lt;Parameter_Date,0,GetGetDefaultprob($I$6,B29)))</f>
        <v>7.196307090896803E-3</v>
      </c>
      <c r="E29" s="180">
        <f t="shared" ca="1" si="2"/>
        <v>5.4765327297225811E-3</v>
      </c>
      <c r="F29" s="166"/>
      <c r="G29" s="167"/>
    </row>
    <row r="30" spans="2:7" x14ac:dyDescent="0.3">
      <c r="B30" s="186" t="str">
        <f t="shared" ca="1" si="0"/>
        <v>21M</v>
      </c>
      <c r="C30" s="219">
        <f t="shared" ca="1" si="1"/>
        <v>1.8054794520547945</v>
      </c>
      <c r="D30" s="171">
        <f ca="1">IF(NOT($C$6),"",IF(GetConvertDate(CDSRollDate,B30)&lt;Parameter_Date,0,GetGetDefaultprob($I$6,B30)))</f>
        <v>7.6430932613418268E-3</v>
      </c>
      <c r="E30" s="180">
        <f t="shared" ca="1" si="2"/>
        <v>5.4765327297231752E-3</v>
      </c>
      <c r="F30" s="166"/>
      <c r="G30" s="167"/>
    </row>
    <row r="31" spans="2:7" x14ac:dyDescent="0.3">
      <c r="B31" s="186" t="str">
        <f t="shared" ca="1" si="0"/>
        <v>22M</v>
      </c>
      <c r="C31" s="219">
        <f t="shared" ca="1" si="1"/>
        <v>1.8904109589041096</v>
      </c>
      <c r="D31" s="171">
        <f ca="1">IF(NOT($C$6),"",IF(GetConvertDate(CDSRollDate,B31)&lt;Parameter_Date,0,GetGetDefaultprob($I$6,B31)))</f>
        <v>8.1045610754421071E-3</v>
      </c>
      <c r="E31" s="180">
        <f t="shared" ca="1" si="2"/>
        <v>5.4765327297212731E-3</v>
      </c>
      <c r="F31" s="166"/>
      <c r="G31" s="167"/>
    </row>
    <row r="32" spans="2:7" x14ac:dyDescent="0.3">
      <c r="B32" s="186" t="str">
        <f t="shared" ca="1" si="0"/>
        <v>23M</v>
      </c>
      <c r="C32" s="219">
        <f t="shared" ca="1" si="1"/>
        <v>1.9753424657534246</v>
      </c>
      <c r="D32" s="171">
        <f ca="1">IF(NOT($C$6),"",IF(GetConvertDate(CDSRollDate,B32)&lt;Parameter_Date,0,GetGetDefaultprob($I$6,B32)))</f>
        <v>8.5658142968469964E-3</v>
      </c>
      <c r="E32" s="180">
        <f t="shared" ca="1" si="2"/>
        <v>5.4765327297225811E-3</v>
      </c>
      <c r="F32" s="166"/>
      <c r="G32" s="167"/>
    </row>
    <row r="33" spans="2:7" x14ac:dyDescent="0.3">
      <c r="B33" s="186" t="str">
        <f t="shared" ca="1" si="0"/>
        <v>24M</v>
      </c>
      <c r="C33" s="219">
        <f t="shared" ca="1" si="1"/>
        <v>2.0520547945205481</v>
      </c>
      <c r="D33" s="171">
        <f ca="1">IF(NOT($C$6),"",IF(GetConvertDate(CDSRollDate,B33)&lt;Parameter_Date,0,GetGetDefaultprob($I$6,B33)))</f>
        <v>8.9822457457354732E-3</v>
      </c>
      <c r="E33" s="180">
        <f t="shared" ca="1" si="2"/>
        <v>5.4765327297228942E-3</v>
      </c>
      <c r="F33" s="166"/>
      <c r="G33" s="167"/>
    </row>
    <row r="34" spans="2:7" x14ac:dyDescent="0.3">
      <c r="B34" s="186" t="str">
        <f t="shared" ca="1" si="0"/>
        <v>25M</v>
      </c>
      <c r="C34" s="219">
        <f t="shared" ca="1" si="1"/>
        <v>2.1369863013698631</v>
      </c>
      <c r="D34" s="171">
        <f ca="1">IF(NOT($C$6),"",IF(GetConvertDate(CDSRollDate,B34)&lt;Parameter_Date,0,GetGetDefaultprob($I$6,B34)))</f>
        <v>9.6034292144087097E-3</v>
      </c>
      <c r="E34" s="180">
        <f t="shared" ca="1" si="2"/>
        <v>7.3825393673665743E-3</v>
      </c>
      <c r="F34" s="166"/>
      <c r="G34" s="167"/>
    </row>
    <row r="35" spans="2:7" x14ac:dyDescent="0.3">
      <c r="B35" s="186" t="str">
        <f t="shared" ca="1" si="0"/>
        <v>26M</v>
      </c>
      <c r="C35" s="219">
        <f t="shared" ca="1" si="1"/>
        <v>2.2191780821917808</v>
      </c>
      <c r="D35" s="171">
        <f ca="1">IF(NOT($C$6),"",IF(GetConvertDate(CDSRollDate,B35)&lt;Parameter_Date,0,GetGetDefaultprob($I$6,B35)))</f>
        <v>1.0204203775608822E-2</v>
      </c>
      <c r="E35" s="180">
        <f t="shared" ca="1" si="2"/>
        <v>7.3825393673661059E-3</v>
      </c>
      <c r="F35" s="166"/>
      <c r="G35" s="167"/>
    </row>
    <row r="36" spans="2:7" x14ac:dyDescent="0.3">
      <c r="B36" s="186" t="str">
        <f t="shared" ca="1" si="0"/>
        <v>27M</v>
      </c>
      <c r="C36" s="219">
        <f t="shared" ca="1" si="1"/>
        <v>2.3041095890410959</v>
      </c>
      <c r="D36" s="171">
        <f ca="1">IF(NOT($C$6),"",IF(GetConvertDate(CDSRollDate,B36)&lt;Parameter_Date,0,GetGetDefaultprob($I$6,B36)))</f>
        <v>1.0824621304293403E-2</v>
      </c>
      <c r="E36" s="180">
        <f t="shared" ca="1" si="2"/>
        <v>7.3825393673678814E-3</v>
      </c>
      <c r="F36" s="166"/>
      <c r="G36" s="167"/>
    </row>
    <row r="37" spans="2:7" x14ac:dyDescent="0.3">
      <c r="B37" s="186" t="str">
        <f t="shared" ca="1" si="0"/>
        <v>28M</v>
      </c>
      <c r="C37" s="219">
        <f t="shared" ca="1" si="1"/>
        <v>2.3863013698630136</v>
      </c>
      <c r="D37" s="171">
        <f ca="1">IF(NOT($C$6),"",IF(GetConvertDate(CDSRollDate,B37)&lt;Parameter_Date,0,GetGetDefaultprob($I$6,B37)))</f>
        <v>1.1424655090370162E-2</v>
      </c>
      <c r="E37" s="180">
        <f t="shared" ca="1" si="2"/>
        <v>7.3825393673661059E-3</v>
      </c>
      <c r="F37" s="166"/>
      <c r="G37" s="167"/>
    </row>
    <row r="38" spans="2:7" x14ac:dyDescent="0.3">
      <c r="B38" s="186" t="str">
        <f t="shared" ca="1" si="0"/>
        <v>29M</v>
      </c>
      <c r="C38" s="219">
        <f t="shared" ca="1" si="1"/>
        <v>2.4712328767123286</v>
      </c>
      <c r="D38" s="171">
        <f ca="1">IF(NOT($C$6),"",IF(GetConvertDate(CDSRollDate,B38)&lt;Parameter_Date,0,GetGetDefaultprob($I$6,B38)))</f>
        <v>1.2044307623495398E-2</v>
      </c>
      <c r="E38" s="180">
        <f t="shared" ca="1" si="2"/>
        <v>7.3825393673652663E-3</v>
      </c>
      <c r="F38" s="166"/>
      <c r="G38" s="167"/>
    </row>
    <row r="39" spans="2:7" x14ac:dyDescent="0.3">
      <c r="B39" s="186" t="str">
        <f t="shared" ca="1" si="0"/>
        <v>30M</v>
      </c>
      <c r="C39" s="219">
        <f t="shared" ca="1" si="1"/>
        <v>2.5561643835616437</v>
      </c>
      <c r="D39" s="171">
        <f ca="1">IF(NOT($C$6),"",IF(GetConvertDate(CDSRollDate,B39)&lt;Parameter_Date,0,GetGetDefaultprob($I$6,B39)))</f>
        <v>1.2663571749946589E-2</v>
      </c>
      <c r="E39" s="180">
        <f t="shared" ca="1" si="2"/>
        <v>7.3825393673652663E-3</v>
      </c>
      <c r="F39" s="166"/>
      <c r="G39" s="167"/>
    </row>
    <row r="40" spans="2:7" x14ac:dyDescent="0.3">
      <c r="B40" s="186" t="str">
        <f t="shared" ca="1" si="0"/>
        <v>31M</v>
      </c>
      <c r="C40" s="219">
        <f t="shared" ca="1" si="1"/>
        <v>2.6383561643835618</v>
      </c>
      <c r="D40" s="171">
        <f ca="1">IF(NOT($C$6),"",IF(GetConvertDate(CDSRollDate,B40)&lt;Parameter_Date,0,GetGetDefaultprob($I$6,B40)))</f>
        <v>1.3262490028680518E-2</v>
      </c>
      <c r="E40" s="180">
        <f t="shared" ca="1" si="2"/>
        <v>7.382539367366066E-3</v>
      </c>
      <c r="F40" s="166"/>
      <c r="G40" s="167"/>
    </row>
    <row r="41" spans="2:7" x14ac:dyDescent="0.3">
      <c r="B41" s="186" t="str">
        <f t="shared" ca="1" si="0"/>
        <v>32M</v>
      </c>
      <c r="C41" s="219">
        <f t="shared" ca="1" si="1"/>
        <v>2.7232876712328768</v>
      </c>
      <c r="D41" s="171">
        <f ca="1">IF(NOT($C$6),"",IF(GetConvertDate(CDSRollDate,B41)&lt;Parameter_Date,0,GetGetDefaultprob($I$6,B41)))</f>
        <v>1.388099058175607E-2</v>
      </c>
      <c r="E41" s="180">
        <f t="shared" ca="1" si="2"/>
        <v>7.3825393673652663E-3</v>
      </c>
      <c r="F41" s="166"/>
      <c r="G41" s="167"/>
    </row>
    <row r="42" spans="2:7" x14ac:dyDescent="0.3">
      <c r="B42" s="186" t="str">
        <f t="shared" ca="1" si="0"/>
        <v>33M</v>
      </c>
      <c r="C42" s="219">
        <f t="shared" ref="C42:C73" ca="1" si="3">MAX(0,(DATE(YEAR(CDSRollDate),MONTH(CDSRollDate)+ROW()-ROW($B$9),DAY(CDSRollDate))-Parameter_Date)/365)</f>
        <v>2.8054794520547945</v>
      </c>
      <c r="D42" s="171">
        <f ca="1">IF(NOT($C$6),"",IF(GetConvertDate(CDSRollDate,B42)&lt;Parameter_Date,0,GetGetDefaultprob($I$6,B42)))</f>
        <v>1.4479170374224859E-2</v>
      </c>
      <c r="E42" s="180">
        <f t="shared" ca="1" si="2"/>
        <v>7.3825393673661059E-3</v>
      </c>
      <c r="F42" s="166"/>
      <c r="G42" s="167"/>
    </row>
    <row r="43" spans="2:7" x14ac:dyDescent="0.3">
      <c r="B43" s="186" t="str">
        <f t="shared" ca="1" si="0"/>
        <v>34M</v>
      </c>
      <c r="C43" s="219">
        <f t="shared" ca="1" si="3"/>
        <v>2.8904109589041096</v>
      </c>
      <c r="D43" s="171">
        <f ca="1">IF(NOT($C$6),"",IF(GetConvertDate(CDSRollDate,B43)&lt;Parameter_Date,0,GetGetDefaultprob($I$6,B43)))</f>
        <v>1.5096908295436418E-2</v>
      </c>
      <c r="E43" s="180">
        <f t="shared" ca="1" si="2"/>
        <v>7.3825393673678814E-3</v>
      </c>
      <c r="F43" s="166"/>
      <c r="G43" s="167"/>
    </row>
    <row r="44" spans="2:7" x14ac:dyDescent="0.3">
      <c r="B44" s="186" t="str">
        <f t="shared" ca="1" si="0"/>
        <v>35M</v>
      </c>
      <c r="C44" s="219">
        <f t="shared" ca="1" si="3"/>
        <v>2.9753424657534246</v>
      </c>
      <c r="D44" s="171">
        <f ca="1">IF(NOT($C$6),"",IF(GetConvertDate(CDSRollDate,B44)&lt;Parameter_Date,0,GetGetDefaultprob($I$6,B44)))</f>
        <v>1.5714259010078613E-2</v>
      </c>
      <c r="E44" s="180">
        <f t="shared" ca="1" si="2"/>
        <v>7.3825393673652663E-3</v>
      </c>
      <c r="F44" s="166"/>
      <c r="G44" s="167"/>
    </row>
    <row r="45" spans="2:7" x14ac:dyDescent="0.3">
      <c r="B45" s="186" t="str">
        <f t="shared" ca="1" si="0"/>
        <v>36M</v>
      </c>
      <c r="C45" s="219">
        <f t="shared" ca="1" si="3"/>
        <v>3.0520547945205481</v>
      </c>
      <c r="D45" s="171">
        <f ca="1">IF(NOT($C$6),"",IF(GetConvertDate(CDSRollDate,B45)&lt;Parameter_Date,0,GetGetDefaultprob($I$6,B45)))</f>
        <v>1.6271533496753809E-2</v>
      </c>
      <c r="E45" s="180">
        <f t="shared" ca="1" si="2"/>
        <v>7.3825393673667764E-3</v>
      </c>
      <c r="F45" s="166"/>
      <c r="G45" s="167"/>
    </row>
    <row r="46" spans="2:7" x14ac:dyDescent="0.3">
      <c r="B46" s="186" t="str">
        <f t="shared" ca="1" si="0"/>
        <v>37M</v>
      </c>
      <c r="C46" s="219">
        <f t="shared" ca="1" si="3"/>
        <v>3.1369863013698631</v>
      </c>
      <c r="D46" s="171">
        <f ca="1">IF(NOT($C$6),"",IF(GetConvertDate(CDSRollDate,B46)&lt;Parameter_Date,0,GetGetDefaultprob($I$6,B46)))</f>
        <v>1.7036389716667211E-2</v>
      </c>
      <c r="E46" s="180">
        <f t="shared" ca="1" si="2"/>
        <v>9.1580840033531168E-3</v>
      </c>
      <c r="F46" s="166"/>
      <c r="G46" s="167"/>
    </row>
    <row r="47" spans="2:7" x14ac:dyDescent="0.3">
      <c r="B47" s="186" t="str">
        <f t="shared" ca="1" si="0"/>
        <v>38M</v>
      </c>
      <c r="C47" s="219">
        <f t="shared" ca="1" si="3"/>
        <v>3.2191780821917808</v>
      </c>
      <c r="D47" s="171">
        <f ca="1">IF(NOT($C$6),"",IF(GetConvertDate(CDSRollDate,B47)&lt;Parameter_Date,0,GetGetDefaultprob($I$6,B47)))</f>
        <v>1.7776006934642319E-2</v>
      </c>
      <c r="E47" s="180">
        <f t="shared" ca="1" si="2"/>
        <v>9.1580840033526519E-3</v>
      </c>
      <c r="F47" s="166"/>
      <c r="G47" s="167"/>
    </row>
    <row r="48" spans="2:7" x14ac:dyDescent="0.3">
      <c r="B48" s="186" t="str">
        <f t="shared" ca="1" si="0"/>
        <v>39M</v>
      </c>
      <c r="C48" s="219">
        <f t="shared" ca="1" si="3"/>
        <v>3.3041095890410959</v>
      </c>
      <c r="D48" s="171">
        <f ca="1">IF(NOT($C$6),"",IF(GetConvertDate(CDSRollDate,B48)&lt;Parameter_Date,0,GetGetDefaultprob($I$6,B48)))</f>
        <v>1.8539693415236536E-2</v>
      </c>
      <c r="E48" s="180">
        <f t="shared" ca="1" si="2"/>
        <v>9.1580840033531168E-3</v>
      </c>
      <c r="F48" s="166"/>
      <c r="G48" s="167"/>
    </row>
    <row r="49" spans="2:7" x14ac:dyDescent="0.3">
      <c r="B49" s="186" t="str">
        <f t="shared" ca="1" si="0"/>
        <v>40M</v>
      </c>
      <c r="C49" s="219">
        <f t="shared" ca="1" si="3"/>
        <v>3.3863013698630136</v>
      </c>
      <c r="D49" s="171">
        <f ca="1">IF(NOT($C$6),"",IF(GetConvertDate(CDSRollDate,B49)&lt;Parameter_Date,0,GetGetDefaultprob($I$6,B49)))</f>
        <v>1.9278179493373182E-2</v>
      </c>
      <c r="E49" s="180">
        <f t="shared" ca="1" si="2"/>
        <v>9.1580840033526519E-3</v>
      </c>
      <c r="F49" s="166"/>
      <c r="G49" s="167"/>
    </row>
    <row r="50" spans="2:7" x14ac:dyDescent="0.3">
      <c r="B50" s="186" t="str">
        <f t="shared" ca="1" si="0"/>
        <v>41M</v>
      </c>
      <c r="C50" s="219">
        <f t="shared" ca="1" si="3"/>
        <v>3.4712328767123286</v>
      </c>
      <c r="D50" s="171">
        <f ca="1">IF(NOT($C$6),"",IF(GetConvertDate(CDSRollDate,B50)&lt;Parameter_Date,0,GetGetDefaultprob($I$6,B50)))</f>
        <v>2.004069802359898E-2</v>
      </c>
      <c r="E50" s="180">
        <f t="shared" ca="1" si="2"/>
        <v>9.1580840033531168E-3</v>
      </c>
      <c r="F50" s="166"/>
      <c r="G50" s="167"/>
    </row>
    <row r="51" spans="2:7" x14ac:dyDescent="0.3">
      <c r="B51" s="186" t="str">
        <f t="shared" ca="1" si="0"/>
        <v>42M</v>
      </c>
      <c r="C51" s="219">
        <f t="shared" ca="1" si="3"/>
        <v>3.5561643835616437</v>
      </c>
      <c r="D51" s="171">
        <f ca="1">IF(NOT($C$6),"",IF(GetConvertDate(CDSRollDate,B51)&lt;Parameter_Date,0,GetGetDefaultprob($I$6,B51)))</f>
        <v>2.0802623689980204E-2</v>
      </c>
      <c r="E51" s="180">
        <f t="shared" ca="1" si="2"/>
        <v>9.1580840033531168E-3</v>
      </c>
      <c r="F51" s="166"/>
      <c r="G51" s="167"/>
    </row>
    <row r="52" spans="2:7" x14ac:dyDescent="0.3">
      <c r="B52" s="186" t="str">
        <f t="shared" ca="1" si="0"/>
        <v>43M</v>
      </c>
      <c r="C52" s="219">
        <f t="shared" ca="1" si="3"/>
        <v>3.6383561643835618</v>
      </c>
      <c r="D52" s="171">
        <f ca="1">IF(NOT($C$6),"",IF(GetConvertDate(CDSRollDate,B52)&lt;Parameter_Date,0,GetGetDefaultprob($I$6,B52)))</f>
        <v>2.1539407057887594E-2</v>
      </c>
      <c r="E52" s="180">
        <f t="shared" ca="1" si="2"/>
        <v>9.1580840033526015E-3</v>
      </c>
      <c r="F52" s="166"/>
      <c r="G52" s="167"/>
    </row>
    <row r="53" spans="2:7" x14ac:dyDescent="0.3">
      <c r="B53" s="186" t="str">
        <f t="shared" ca="1" si="0"/>
        <v>44M</v>
      </c>
      <c r="C53" s="219">
        <f t="shared" ca="1" si="3"/>
        <v>3.7232876712328768</v>
      </c>
      <c r="D53" s="171">
        <f ca="1">IF(NOT($C$6),"",IF(GetConvertDate(CDSRollDate,B53)&lt;Parameter_Date,0,GetGetDefaultprob($I$6,B53)))</f>
        <v>2.2300167466816512E-2</v>
      </c>
      <c r="E53" s="180">
        <f t="shared" ca="1" si="2"/>
        <v>9.1580840033544247E-3</v>
      </c>
      <c r="F53" s="166"/>
      <c r="G53" s="167"/>
    </row>
    <row r="54" spans="2:7" x14ac:dyDescent="0.3">
      <c r="B54" s="186" t="str">
        <f t="shared" ca="1" si="0"/>
        <v>45M</v>
      </c>
      <c r="C54" s="219">
        <f t="shared" ca="1" si="3"/>
        <v>3.8054794520547945</v>
      </c>
      <c r="D54" s="171">
        <f ca="1">IF(NOT($C$6),"",IF(GetConvertDate(CDSRollDate,B54)&lt;Parameter_Date,0,GetGetDefaultprob($I$6,B54)))</f>
        <v>2.3035824028857954E-2</v>
      </c>
      <c r="E54" s="180">
        <f t="shared" ca="1" si="2"/>
        <v>9.1580840033526519E-3</v>
      </c>
      <c r="F54" s="166"/>
      <c r="G54" s="167"/>
    </row>
    <row r="55" spans="2:7" x14ac:dyDescent="0.3">
      <c r="B55" s="186" t="str">
        <f t="shared" ca="1" si="0"/>
        <v>46M</v>
      </c>
      <c r="C55" s="219">
        <f t="shared" ca="1" si="3"/>
        <v>3.8904109589041096</v>
      </c>
      <c r="D55" s="171">
        <f ca="1">IF(NOT($C$6),"",IF(GetConvertDate(CDSRollDate,B55)&lt;Parameter_Date,0,GetGetDefaultprob($I$6,B55)))</f>
        <v>2.3795420962430702E-2</v>
      </c>
      <c r="E55" s="180">
        <f t="shared" ca="1" si="2"/>
        <v>9.1580840033531168E-3</v>
      </c>
      <c r="F55" s="166"/>
      <c r="G55" s="167"/>
    </row>
    <row r="56" spans="2:7" x14ac:dyDescent="0.3">
      <c r="B56" s="186" t="str">
        <f t="shared" ca="1" si="0"/>
        <v>47M</v>
      </c>
      <c r="C56" s="219">
        <f t="shared" ca="1" si="3"/>
        <v>3.9753424657534246</v>
      </c>
      <c r="D56" s="171">
        <f ca="1">IF(NOT($C$6),"",IF(GetConvertDate(CDSRollDate,B56)&lt;Parameter_Date,0,GetGetDefaultprob($I$6,B56)))</f>
        <v>2.4554427303722148E-2</v>
      </c>
      <c r="E56" s="180">
        <f t="shared" ca="1" si="2"/>
        <v>9.1580840033531168E-3</v>
      </c>
      <c r="F56" s="166"/>
      <c r="G56" s="167"/>
    </row>
    <row r="57" spans="2:7" x14ac:dyDescent="0.3">
      <c r="B57" s="186" t="str">
        <f t="shared" ca="1" si="0"/>
        <v>48M</v>
      </c>
      <c r="C57" s="219">
        <f t="shared" ca="1" si="3"/>
        <v>4.0547945205479454</v>
      </c>
      <c r="D57" s="171">
        <f ca="1">IF(NOT($C$6),"",IF(GetConvertDate(CDSRollDate,B57)&lt;Parameter_Date,0,GetGetDefaultprob($I$6,B57)))</f>
        <v>2.5263931233425629E-2</v>
      </c>
      <c r="E57" s="180">
        <f t="shared" ca="1" si="2"/>
        <v>9.158084003353573E-3</v>
      </c>
      <c r="F57" s="166"/>
      <c r="G57" s="167"/>
    </row>
    <row r="58" spans="2:7" x14ac:dyDescent="0.3">
      <c r="B58" s="186" t="str">
        <f t="shared" ca="1" si="0"/>
        <v>49M</v>
      </c>
      <c r="C58" s="219">
        <f t="shared" ca="1" si="3"/>
        <v>4.13972602739726</v>
      </c>
      <c r="D58" s="171">
        <f ca="1">IF(NOT($C$6),"",IF(GetConvertDate(CDSRollDate,B58)&lt;Parameter_Date,0,GetGetDefaultprob($I$6,B58)))</f>
        <v>2.6021795797028235E-2</v>
      </c>
      <c r="E58" s="180">
        <f t="shared" ca="1" si="2"/>
        <v>9.1580840033518556E-3</v>
      </c>
      <c r="F58" s="166"/>
      <c r="G58" s="167"/>
    </row>
    <row r="59" spans="2:7" x14ac:dyDescent="0.3">
      <c r="B59" s="186" t="str">
        <f t="shared" ca="1" si="0"/>
        <v>50M</v>
      </c>
      <c r="C59" s="219">
        <f t="shared" ca="1" si="3"/>
        <v>4.2219178082191782</v>
      </c>
      <c r="D59" s="171">
        <f ca="1">IF(NOT($C$6),"",IF(GetConvertDate(CDSRollDate,B59)&lt;Parameter_Date,0,GetGetDefaultprob($I$6,B59)))</f>
        <v>2.6754652071894203E-2</v>
      </c>
      <c r="E59" s="180">
        <f t="shared" ca="1" si="2"/>
        <v>9.1580840033539529E-3</v>
      </c>
      <c r="F59" s="166"/>
      <c r="G59" s="167"/>
    </row>
    <row r="60" spans="2:7" x14ac:dyDescent="0.3">
      <c r="B60" s="186" t="str">
        <f t="shared" ca="1" si="0"/>
        <v>51M</v>
      </c>
      <c r="C60" s="219">
        <f t="shared" ca="1" si="3"/>
        <v>4.3068493150684928</v>
      </c>
      <c r="D60" s="171">
        <f ca="1">IF(NOT($C$6),"",IF(GetConvertDate(CDSRollDate,B60)&lt;Parameter_Date,0,GetGetDefaultprob($I$6,B60)))</f>
        <v>2.7511357588926422E-2</v>
      </c>
      <c r="E60" s="180">
        <f t="shared" ca="1" si="2"/>
        <v>9.1580840033531636E-3</v>
      </c>
      <c r="F60" s="166"/>
      <c r="G60" s="167"/>
    </row>
    <row r="61" spans="2:7" x14ac:dyDescent="0.3">
      <c r="B61" s="186" t="str">
        <f t="shared" ca="1" si="0"/>
        <v>52M</v>
      </c>
      <c r="C61" s="219">
        <f t="shared" ca="1" si="3"/>
        <v>4.3890410958904109</v>
      </c>
      <c r="D61" s="171">
        <f ca="1">IF(NOT($C$6),"",IF(GetConvertDate(CDSRollDate,B61)&lt;Parameter_Date,0,GetGetDefaultprob($I$6,B61)))</f>
        <v>2.8243093063859304E-2</v>
      </c>
      <c r="E61" s="180">
        <f t="shared" ca="1" si="2"/>
        <v>9.1580840033526015E-3</v>
      </c>
      <c r="F61" s="166"/>
      <c r="G61" s="167"/>
    </row>
    <row r="62" spans="2:7" x14ac:dyDescent="0.3">
      <c r="B62" s="186" t="str">
        <f t="shared" ca="1" si="0"/>
        <v>53M</v>
      </c>
      <c r="C62" s="219">
        <f t="shared" ca="1" si="3"/>
        <v>4.4739726027397264</v>
      </c>
      <c r="D62" s="171">
        <f ca="1">IF(NOT($C$6),"",IF(GetConvertDate(CDSRollDate,B62)&lt;Parameter_Date,0,GetGetDefaultprob($I$6,B62)))</f>
        <v>2.8998641306918538E-2</v>
      </c>
      <c r="E62" s="180">
        <f t="shared" ca="1" si="2"/>
        <v>9.1580840033517602E-3</v>
      </c>
      <c r="F62" s="166"/>
      <c r="G62" s="167"/>
    </row>
    <row r="63" spans="2:7" x14ac:dyDescent="0.3">
      <c r="B63" s="186" t="str">
        <f t="shared" ca="1" si="0"/>
        <v>54M</v>
      </c>
      <c r="C63" s="219">
        <f t="shared" ca="1" si="3"/>
        <v>4.558904109589041</v>
      </c>
      <c r="D63" s="171">
        <f ca="1">IF(NOT($C$6),"",IF(GetConvertDate(CDSRollDate,B63)&lt;Parameter_Date,0,GetGetDefaultprob($I$6,B63)))</f>
        <v>2.9753602105583643E-2</v>
      </c>
      <c r="E63" s="180">
        <f t="shared" ca="1" si="2"/>
        <v>9.1580840033544733E-3</v>
      </c>
      <c r="F63" s="166"/>
      <c r="G63" s="167"/>
    </row>
    <row r="64" spans="2:7" x14ac:dyDescent="0.3">
      <c r="B64" s="186" t="str">
        <f t="shared" ca="1" si="0"/>
        <v>55M</v>
      </c>
      <c r="C64" s="219">
        <f t="shared" ca="1" si="3"/>
        <v>4.6410958904109592</v>
      </c>
      <c r="D64" s="171">
        <f ca="1">IF(NOT($C$6),"",IF(GetConvertDate(CDSRollDate,B64)&lt;Parameter_Date,0,GetGetDefaultprob($I$6,B64)))</f>
        <v>3.0483650434996457E-2</v>
      </c>
      <c r="E64" s="180">
        <f t="shared" ca="1" si="2"/>
        <v>9.1580840033512502E-3</v>
      </c>
      <c r="F64" s="166"/>
      <c r="G64" s="167"/>
    </row>
    <row r="65" spans="2:7" x14ac:dyDescent="0.3">
      <c r="B65" s="186" t="str">
        <f t="shared" ca="1" si="0"/>
        <v>56M</v>
      </c>
      <c r="C65" s="219">
        <f t="shared" ca="1" si="3"/>
        <v>4.7260273972602738</v>
      </c>
      <c r="D65" s="171">
        <f ca="1">IF(NOT($C$6),"",IF(GetConvertDate(CDSRollDate,B65)&lt;Parameter_Date,0,GetGetDefaultprob($I$6,B65)))</f>
        <v>3.1237456627988269E-2</v>
      </c>
      <c r="E65" s="180">
        <f t="shared" ca="1" si="2"/>
        <v>9.1580840033518556E-3</v>
      </c>
      <c r="F65" s="166"/>
      <c r="G65" s="167"/>
    </row>
    <row r="66" spans="2:7" x14ac:dyDescent="0.3">
      <c r="B66" s="186" t="str">
        <f t="shared" ca="1" si="0"/>
        <v>57M</v>
      </c>
      <c r="C66" s="219">
        <f t="shared" ca="1" si="3"/>
        <v>4.8082191780821919</v>
      </c>
      <c r="D66" s="171">
        <f ca="1">IF(NOT($C$6),"",IF(GetConvertDate(CDSRollDate,B66)&lt;Parameter_Date,0,GetGetDefaultprob($I$6,B66)))</f>
        <v>3.1966388451823424E-2</v>
      </c>
      <c r="E66" s="180">
        <f t="shared" ca="1" si="2"/>
        <v>9.1580840033539529E-3</v>
      </c>
      <c r="F66" s="166"/>
      <c r="G66" s="167"/>
    </row>
    <row r="67" spans="2:7" x14ac:dyDescent="0.3">
      <c r="B67" s="186" t="str">
        <f t="shared" ca="1" si="0"/>
        <v>58M</v>
      </c>
      <c r="C67" s="219">
        <f t="shared" ca="1" si="3"/>
        <v>4.8931506849315065</v>
      </c>
      <c r="D67" s="171">
        <f ca="1">IF(NOT($C$6),"",IF(GetConvertDate(CDSRollDate,B67)&lt;Parameter_Date,0,GetGetDefaultprob($I$6,B67)))</f>
        <v>3.2719041804948001E-2</v>
      </c>
      <c r="E67" s="180">
        <f t="shared" ca="1" si="2"/>
        <v>9.1580840033518556E-3</v>
      </c>
      <c r="F67" s="166"/>
      <c r="G67" s="167"/>
    </row>
    <row r="68" spans="2:7" x14ac:dyDescent="0.3">
      <c r="B68" s="186" t="str">
        <f t="shared" ca="1" si="0"/>
        <v>59M</v>
      </c>
      <c r="C68" s="219">
        <f t="shared" ca="1" si="3"/>
        <v>4.978082191780822</v>
      </c>
      <c r="D68" s="171">
        <f ca="1">IF(NOT($C$6),"",IF(GetConvertDate(CDSRollDate,B68)&lt;Parameter_Date,0,GetGetDefaultprob($I$6,B68)))</f>
        <v>3.3471109964476886E-2</v>
      </c>
      <c r="E68" s="180">
        <f t="shared" ca="1" si="2"/>
        <v>9.1580840033530682E-3</v>
      </c>
      <c r="F68" s="166"/>
      <c r="G68" s="167"/>
    </row>
    <row r="69" spans="2:7" x14ac:dyDescent="0.3">
      <c r="B69" s="186" t="str">
        <f t="shared" ca="1" si="0"/>
        <v>60M</v>
      </c>
      <c r="C69" s="219">
        <f t="shared" ca="1" si="3"/>
        <v>5.0547945205479454</v>
      </c>
      <c r="D69" s="171">
        <f ca="1">IF(NOT($C$6),"",IF(GetConvertDate(CDSRollDate,B69)&lt;Parameter_Date,0,GetGetDefaultprob($I$6,B69)))</f>
        <v>3.4149894726462682E-2</v>
      </c>
      <c r="E69" s="180">
        <f t="shared" ca="1" si="2"/>
        <v>9.158084003354933E-3</v>
      </c>
      <c r="F69" s="166"/>
      <c r="G69" s="167"/>
    </row>
    <row r="70" spans="2:7" x14ac:dyDescent="0.3">
      <c r="B70" s="186" t="str">
        <f t="shared" ca="1" si="0"/>
        <v>61M</v>
      </c>
      <c r="C70" s="219">
        <f t="shared" ca="1" si="3"/>
        <v>5.13972602739726</v>
      </c>
      <c r="D70" s="171">
        <f ca="1">IF(NOT($C$6),"",IF(GetConvertDate(CDSRollDate,B70)&lt;Parameter_Date,0,GetGetDefaultprob($I$6,B70)))</f>
        <v>3.4923258103141674E-2</v>
      </c>
      <c r="E70" s="180">
        <f t="shared" ca="1" si="2"/>
        <v>9.4314609385475149E-3</v>
      </c>
      <c r="F70" s="166"/>
      <c r="G70" s="167"/>
    </row>
    <row r="71" spans="2:7" x14ac:dyDescent="0.3">
      <c r="B71" s="186" t="str">
        <f t="shared" ca="1" si="0"/>
        <v>62M</v>
      </c>
      <c r="C71" s="219">
        <f t="shared" ca="1" si="3"/>
        <v>5.2219178082191782</v>
      </c>
      <c r="D71" s="171">
        <f ca="1">IF(NOT($C$6),"",IF(GetConvertDate(CDSRollDate,B71)&lt;Parameter_Date,0,GetGetDefaultprob($I$6,B71)))</f>
        <v>3.5671084672161291E-2</v>
      </c>
      <c r="E71" s="180">
        <f t="shared" ca="1" si="2"/>
        <v>9.4314609385453396E-3</v>
      </c>
      <c r="F71" s="166"/>
      <c r="G71" s="167"/>
    </row>
    <row r="72" spans="2:7" x14ac:dyDescent="0.3">
      <c r="B72" s="186" t="str">
        <f t="shared" ca="1" si="0"/>
        <v>63M</v>
      </c>
      <c r="C72" s="219">
        <f t="shared" ca="1" si="3"/>
        <v>5.3068493150684928</v>
      </c>
      <c r="D72" s="171">
        <f ca="1">IF(NOT($C$6),"",IF(GetConvertDate(CDSRollDate,B72)&lt;Parameter_Date,0,GetGetDefaultprob($I$6,B72)))</f>
        <v>3.6443230020714923E-2</v>
      </c>
      <c r="E72" s="180">
        <f t="shared" ca="1" si="2"/>
        <v>9.4314609385462052E-3</v>
      </c>
      <c r="F72" s="166"/>
      <c r="G72" s="167"/>
    </row>
    <row r="73" spans="2:7" x14ac:dyDescent="0.3">
      <c r="B73" s="186" t="str">
        <f t="shared" ca="1" si="0"/>
        <v>64M</v>
      </c>
      <c r="C73" s="219">
        <f t="shared" ca="1" si="3"/>
        <v>5.3890410958904109</v>
      </c>
      <c r="D73" s="171">
        <f ca="1">IF(NOT($C$6),"",IF(GetConvertDate(CDSRollDate,B73)&lt;Parameter_Date,0,GetGetDefaultprob($I$6,B73)))</f>
        <v>3.7189878781447749E-2</v>
      </c>
      <c r="E73" s="180">
        <f t="shared" ca="1" si="2"/>
        <v>9.4314609385480423E-3</v>
      </c>
      <c r="F73" s="166"/>
      <c r="G73" s="167"/>
    </row>
    <row r="74" spans="2:7" x14ac:dyDescent="0.3">
      <c r="B74" s="186" t="str">
        <f t="shared" ca="1" si="0"/>
        <v>65M</v>
      </c>
      <c r="C74" s="219">
        <f t="shared" ref="C74:C105" ca="1" si="4">MAX(0,(DATE(YEAR(CDSRollDate),MONTH(CDSRollDate)+ROW()-ROW($B$9),DAY(CDSRollDate))-Parameter_Date)/365)</f>
        <v>5.4739726027397264</v>
      </c>
      <c r="D74" s="171">
        <f ca="1">IF(NOT($C$6),"",IF(GetConvertDate(CDSRollDate,B74)&lt;Parameter_Date,0,GetGetDefaultprob($I$6,B74)))</f>
        <v>3.7960808020240266E-2</v>
      </c>
      <c r="E74" s="180">
        <f t="shared" ca="1" si="2"/>
        <v>9.431460938547416E-3</v>
      </c>
      <c r="F74" s="166"/>
      <c r="G74" s="167"/>
    </row>
    <row r="75" spans="2:7" x14ac:dyDescent="0.3">
      <c r="B75" s="186" t="str">
        <f t="shared" ref="B75:B129" ca="1" si="5">ROW()-ROW($B$9)&amp;"M"</f>
        <v>66M</v>
      </c>
      <c r="C75" s="219">
        <f t="shared" ca="1" si="4"/>
        <v>5.558904109589041</v>
      </c>
      <c r="D75" s="171">
        <f ca="1">IF(NOT($C$6),"",IF(GetConvertDate(CDSRollDate,B75)&lt;Parameter_Date,0,GetGetDefaultprob($I$6,B75)))</f>
        <v>3.8731119970246364E-2</v>
      </c>
      <c r="E75" s="180">
        <f t="shared" ca="1" si="2"/>
        <v>9.4314609385462052E-3</v>
      </c>
      <c r="F75" s="166"/>
      <c r="G75" s="167"/>
    </row>
    <row r="76" spans="2:7" x14ac:dyDescent="0.3">
      <c r="B76" s="186" t="str">
        <f t="shared" ca="1" si="5"/>
        <v>67M</v>
      </c>
      <c r="C76" s="219">
        <f t="shared" ca="1" si="4"/>
        <v>5.6410958904109592</v>
      </c>
      <c r="D76" s="171">
        <f ca="1">IF(NOT($C$6),"",IF(GetConvertDate(CDSRollDate,B76)&lt;Parameter_Date,0,GetGetDefaultprob($I$6,B76)))</f>
        <v>3.9475995872078951E-2</v>
      </c>
      <c r="E76" s="180">
        <f t="shared" ref="E76:E129" ca="1" si="6">IF(NOT($C$6),"",IF(C76=0,0,-LN((1-D76)/(1-D75))/($C76-$C75)))</f>
        <v>9.4314609385466909E-3</v>
      </c>
      <c r="F76" s="166"/>
      <c r="G76" s="167"/>
    </row>
    <row r="77" spans="2:7" x14ac:dyDescent="0.3">
      <c r="B77" s="186" t="str">
        <f t="shared" ca="1" si="5"/>
        <v>68M</v>
      </c>
      <c r="C77" s="219">
        <f t="shared" ca="1" si="4"/>
        <v>5.7260273972602738</v>
      </c>
      <c r="D77" s="171">
        <f ca="1">IF(NOT($C$6),"",IF(GetConvertDate(CDSRollDate,B77)&lt;Parameter_Date,0,GetGetDefaultprob($I$6,B77)))</f>
        <v>4.0245094599881237E-2</v>
      </c>
      <c r="E77" s="180">
        <f t="shared" ca="1" si="6"/>
        <v>9.4314609385475149E-3</v>
      </c>
      <c r="F77" s="166"/>
      <c r="G77" s="167"/>
    </row>
    <row r="78" spans="2:7" x14ac:dyDescent="0.3">
      <c r="B78" s="186" t="str">
        <f t="shared" ca="1" si="5"/>
        <v>69M</v>
      </c>
      <c r="C78" s="219">
        <f t="shared" ca="1" si="4"/>
        <v>5.8082191780821919</v>
      </c>
      <c r="D78" s="171">
        <f ca="1">IF(NOT($C$6),"",IF(GetConvertDate(CDSRollDate,B78)&lt;Parameter_Date,0,GetGetDefaultprob($I$6,B78)))</f>
        <v>4.0988797340654304E-2</v>
      </c>
      <c r="E78" s="180">
        <f t="shared" ca="1" si="6"/>
        <v>9.4314609385453396E-3</v>
      </c>
      <c r="F78" s="166"/>
      <c r="G78" s="167"/>
    </row>
    <row r="79" spans="2:7" x14ac:dyDescent="0.3">
      <c r="B79" s="186" t="str">
        <f t="shared" ca="1" si="5"/>
        <v>70M</v>
      </c>
      <c r="C79" s="219">
        <f t="shared" ca="1" si="4"/>
        <v>5.8931506849315065</v>
      </c>
      <c r="D79" s="171">
        <f ca="1">IF(NOT($C$6),"",IF(GetConvertDate(CDSRollDate,B79)&lt;Parameter_Date,0,GetGetDefaultprob($I$6,B79)))</f>
        <v>4.1756684757047524E-2</v>
      </c>
      <c r="E79" s="180">
        <f t="shared" ca="1" si="6"/>
        <v>9.4314609385488229E-3</v>
      </c>
      <c r="F79" s="166"/>
      <c r="G79" s="167"/>
    </row>
    <row r="80" spans="2:7" x14ac:dyDescent="0.3">
      <c r="B80" s="186" t="str">
        <f t="shared" ca="1" si="5"/>
        <v>71M</v>
      </c>
      <c r="C80" s="219">
        <f t="shared" ca="1" si="4"/>
        <v>5.978082191780822</v>
      </c>
      <c r="D80" s="171">
        <f ca="1">IF(NOT($C$6),"",IF(GetConvertDate(CDSRollDate,B80)&lt;Parameter_Date,0,GetGetDefaultprob($I$6,B80)))</f>
        <v>4.2523957320264039E-2</v>
      </c>
      <c r="E80" s="180">
        <f t="shared" ca="1" si="6"/>
        <v>9.431460938546108E-3</v>
      </c>
      <c r="F80" s="166"/>
      <c r="G80" s="167"/>
    </row>
    <row r="81" spans="2:7" x14ac:dyDescent="0.3">
      <c r="B81" s="186" t="str">
        <f t="shared" ca="1" si="5"/>
        <v>72M</v>
      </c>
      <c r="C81" s="219">
        <f t="shared" ca="1" si="4"/>
        <v>6.0547945205479454</v>
      </c>
      <c r="D81" s="171">
        <f ca="1">IF(NOT($C$6),"",IF(GetConvertDate(CDSRollDate,B81)&lt;Parameter_Date,0,GetGetDefaultprob($I$6,B81)))</f>
        <v>4.3216449630037568E-2</v>
      </c>
      <c r="E81" s="180">
        <f t="shared" ca="1" si="6"/>
        <v>9.431460938547841E-3</v>
      </c>
      <c r="F81" s="166"/>
      <c r="G81" s="167"/>
    </row>
    <row r="82" spans="2:7" x14ac:dyDescent="0.3">
      <c r="B82" s="186" t="str">
        <f t="shared" ca="1" si="5"/>
        <v>73M</v>
      </c>
      <c r="C82" s="219">
        <f t="shared" ca="1" si="4"/>
        <v>6.13972602739726</v>
      </c>
      <c r="D82" s="171">
        <f ca="1">IF(NOT($C$6),"",IF(GetConvertDate(CDSRollDate,B82)&lt;Parameter_Date,0,GetGetDefaultprob($I$6,B82)))</f>
        <v>4.3982553348642317E-2</v>
      </c>
      <c r="E82" s="180">
        <f t="shared" ca="1" si="6"/>
        <v>9.4314609385462052E-3</v>
      </c>
      <c r="F82" s="166"/>
      <c r="G82" s="167"/>
    </row>
    <row r="83" spans="2:7" x14ac:dyDescent="0.3">
      <c r="B83" s="186" t="str">
        <f t="shared" ca="1" si="5"/>
        <v>74M</v>
      </c>
      <c r="C83" s="219">
        <f t="shared" ca="1" si="4"/>
        <v>6.2219178082191782</v>
      </c>
      <c r="D83" s="171">
        <f ca="1">IF(NOT($C$6),"",IF(GetConvertDate(CDSRollDate,B83)&lt;Parameter_Date,0,GetGetDefaultprob($I$6,B83)))</f>
        <v>4.4723359976773347E-2</v>
      </c>
      <c r="E83" s="180">
        <f t="shared" ca="1" si="6"/>
        <v>9.4314609385466909E-3</v>
      </c>
      <c r="F83" s="166"/>
      <c r="G83" s="167"/>
    </row>
    <row r="84" spans="2:7" x14ac:dyDescent="0.3">
      <c r="B84" s="186" t="str">
        <f t="shared" ca="1" si="5"/>
        <v>75M</v>
      </c>
      <c r="C84" s="219">
        <f t="shared" ca="1" si="4"/>
        <v>6.3068493150684928</v>
      </c>
      <c r="D84" s="171">
        <f ca="1">IF(NOT($C$6),"",IF(GetConvertDate(CDSRollDate,B84)&lt;Parameter_Date,0,GetGetDefaultprob($I$6,B84)))</f>
        <v>4.5488257101034324E-2</v>
      </c>
      <c r="E84" s="180">
        <f t="shared" ca="1" si="6"/>
        <v>9.4314609385475149E-3</v>
      </c>
      <c r="F84" s="166"/>
      <c r="G84" s="167"/>
    </row>
    <row r="85" spans="2:7" x14ac:dyDescent="0.3">
      <c r="B85" s="186" t="str">
        <f t="shared" ca="1" si="5"/>
        <v>76M</v>
      </c>
      <c r="C85" s="219">
        <f t="shared" ca="1" si="4"/>
        <v>6.3890410958904109</v>
      </c>
      <c r="D85" s="171">
        <f ca="1">IF(NOT($C$6),"",IF(GetConvertDate(CDSRollDate,B85)&lt;Parameter_Date,0,GetGetDefaultprob($I$6,B85)))</f>
        <v>4.6227896977111049E-2</v>
      </c>
      <c r="E85" s="180">
        <f t="shared" ca="1" si="6"/>
        <v>9.4314609385466909E-3</v>
      </c>
      <c r="F85" s="166"/>
      <c r="G85" s="167"/>
    </row>
    <row r="86" spans="2:7" x14ac:dyDescent="0.3">
      <c r="B86" s="186" t="str">
        <f t="shared" ca="1" si="5"/>
        <v>77M</v>
      </c>
      <c r="C86" s="219">
        <f t="shared" ca="1" si="4"/>
        <v>6.4739726027397264</v>
      </c>
      <c r="D86" s="171">
        <f ca="1">IF(NOT($C$6),"",IF(GetConvertDate(CDSRollDate,B86)&lt;Parameter_Date,0,GetGetDefaultprob($I$6,B86)))</f>
        <v>4.6991589407384238E-2</v>
      </c>
      <c r="E86" s="180">
        <f t="shared" ca="1" si="6"/>
        <v>9.431460938547416E-3</v>
      </c>
      <c r="F86" s="166"/>
      <c r="G86" s="167"/>
    </row>
    <row r="87" spans="2:7" x14ac:dyDescent="0.3">
      <c r="B87" s="186" t="str">
        <f t="shared" ca="1" si="5"/>
        <v>78M</v>
      </c>
      <c r="C87" s="219">
        <f t="shared" ca="1" si="4"/>
        <v>6.558904109589041</v>
      </c>
      <c r="D87" s="171">
        <f ca="1">IF(NOT($C$6),"",IF(GetConvertDate(CDSRollDate,B87)&lt;Parameter_Date,0,GetGetDefaultprob($I$6,B87)))</f>
        <v>4.77546703434375E-2</v>
      </c>
      <c r="E87" s="180">
        <f t="shared" ca="1" si="6"/>
        <v>9.4314609385462052E-3</v>
      </c>
      <c r="F87" s="166"/>
      <c r="G87" s="167"/>
    </row>
    <row r="88" spans="2:7" x14ac:dyDescent="0.3">
      <c r="B88" s="186" t="str">
        <f t="shared" ca="1" si="5"/>
        <v>79M</v>
      </c>
      <c r="C88" s="219">
        <f t="shared" ca="1" si="4"/>
        <v>6.6410958904109592</v>
      </c>
      <c r="D88" s="171">
        <f ca="1">IF(NOT($C$6),"",IF(GetConvertDate(CDSRollDate,B88)&lt;Parameter_Date,0,GetGetDefaultprob($I$6,B88)))</f>
        <v>4.8492554002660726E-2</v>
      </c>
      <c r="E88" s="180">
        <f t="shared" ca="1" si="6"/>
        <v>9.4314609385466909E-3</v>
      </c>
      <c r="F88" s="166"/>
      <c r="G88" s="167"/>
    </row>
    <row r="89" spans="2:7" x14ac:dyDescent="0.3">
      <c r="B89" s="186" t="str">
        <f t="shared" ca="1" si="5"/>
        <v>80M</v>
      </c>
      <c r="C89" s="219">
        <f t="shared" ca="1" si="4"/>
        <v>6.7260273972602738</v>
      </c>
      <c r="D89" s="171">
        <f ca="1">IF(NOT($C$6),"",IF(GetConvertDate(CDSRollDate,B89)&lt;Parameter_Date,0,GetGetDefaultprob($I$6,B89)))</f>
        <v>4.925443310517752E-2</v>
      </c>
      <c r="E89" s="180">
        <f t="shared" ca="1" si="6"/>
        <v>9.4314609385462052E-3</v>
      </c>
      <c r="F89" s="166"/>
      <c r="G89" s="167"/>
    </row>
    <row r="90" spans="2:7" x14ac:dyDescent="0.3">
      <c r="B90" s="186" t="str">
        <f t="shared" ca="1" si="5"/>
        <v>81M</v>
      </c>
      <c r="C90" s="219">
        <f t="shared" ca="1" si="4"/>
        <v>6.8082191780821919</v>
      </c>
      <c r="D90" s="171">
        <f ca="1">IF(NOT($C$6),"",IF(GetConvertDate(CDSRollDate,B90)&lt;Parameter_Date,0,GetGetDefaultprob($I$6,B90)))</f>
        <v>4.9991154615950051E-2</v>
      </c>
      <c r="E90" s="180">
        <f t="shared" ca="1" si="6"/>
        <v>9.4314609385466909E-3</v>
      </c>
      <c r="F90" s="166"/>
      <c r="G90" s="167"/>
    </row>
    <row r="91" spans="2:7" x14ac:dyDescent="0.3">
      <c r="B91" s="186" t="str">
        <f t="shared" ca="1" si="5"/>
        <v>82M</v>
      </c>
      <c r="C91" s="219">
        <f t="shared" ca="1" si="4"/>
        <v>6.8931506849315065</v>
      </c>
      <c r="D91" s="171">
        <f ca="1">IF(NOT($C$6),"",IF(GetConvertDate(CDSRollDate,B91)&lt;Parameter_Date,0,GetGetDefaultprob($I$6,B91)))</f>
        <v>5.0751833777788469E-2</v>
      </c>
      <c r="E91" s="180">
        <f t="shared" ca="1" si="6"/>
        <v>9.4314609385475149E-3</v>
      </c>
      <c r="F91" s="166"/>
      <c r="G91" s="167"/>
    </row>
    <row r="92" spans="2:7" x14ac:dyDescent="0.3">
      <c r="B92" s="186" t="str">
        <f t="shared" ca="1" si="5"/>
        <v>83M</v>
      </c>
      <c r="C92" s="219">
        <f t="shared" ca="1" si="4"/>
        <v>6.978082191780822</v>
      </c>
      <c r="D92" s="171">
        <f ca="1">IF(NOT($C$6),"",IF(GetConvertDate(CDSRollDate,B92)&lt;Parameter_Date,0,GetGetDefaultprob($I$6,B92)))</f>
        <v>5.1511903858153518E-2</v>
      </c>
      <c r="E92" s="180">
        <f t="shared" ca="1" si="6"/>
        <v>9.431460938546108E-3</v>
      </c>
      <c r="F92" s="166"/>
      <c r="G92" s="167"/>
    </row>
    <row r="93" spans="2:7" x14ac:dyDescent="0.3">
      <c r="B93" s="186" t="str">
        <f t="shared" ca="1" si="5"/>
        <v>84M</v>
      </c>
      <c r="C93" s="219">
        <f t="shared" ca="1" si="4"/>
        <v>7.0547945205479454</v>
      </c>
      <c r="D93" s="171">
        <f ca="1">IF(NOT($C$6),"",IF(GetConvertDate(CDSRollDate,B93)&lt;Parameter_Date,0,GetGetDefaultprob($I$6,B93)))</f>
        <v>5.21978956566026E-2</v>
      </c>
      <c r="E93" s="180">
        <f t="shared" ca="1" si="6"/>
        <v>9.4314609385463925E-3</v>
      </c>
      <c r="F93" s="166"/>
      <c r="G93" s="167"/>
    </row>
    <row r="94" spans="2:7" x14ac:dyDescent="0.3">
      <c r="B94" s="186" t="str">
        <f t="shared" ca="1" si="5"/>
        <v>85M</v>
      </c>
      <c r="C94" s="219">
        <f t="shared" ca="1" si="4"/>
        <v>7.13972602739726</v>
      </c>
      <c r="D94" s="171">
        <f ca="1">IF(NOT($C$6),"",IF(GetConvertDate(CDSRollDate,B94)&lt;Parameter_Date,0,GetGetDefaultprob($I$6,B94)))</f>
        <v>5.3014059448611262E-2</v>
      </c>
      <c r="E94" s="180">
        <f t="shared" ca="1" si="6"/>
        <v>1.0143267553865338E-2</v>
      </c>
      <c r="F94" s="166"/>
      <c r="G94" s="167"/>
    </row>
    <row r="95" spans="2:7" x14ac:dyDescent="0.3">
      <c r="B95" s="186" t="str">
        <f t="shared" ca="1" si="5"/>
        <v>86M</v>
      </c>
      <c r="C95" s="219">
        <f t="shared" ca="1" si="4"/>
        <v>7.2219178082191782</v>
      </c>
      <c r="D95" s="171">
        <f ca="1">IF(NOT($C$6),"",IF(GetConvertDate(CDSRollDate,B95)&lt;Parameter_Date,0,GetGetDefaultprob($I$6,B95)))</f>
        <v>5.3803226202901788E-2</v>
      </c>
      <c r="E95" s="180">
        <f t="shared" ca="1" si="6"/>
        <v>1.0143267553862721E-2</v>
      </c>
      <c r="F95" s="166"/>
      <c r="G95" s="167"/>
    </row>
    <row r="96" spans="2:7" x14ac:dyDescent="0.3">
      <c r="B96" s="186" t="str">
        <f t="shared" ca="1" si="5"/>
        <v>87M</v>
      </c>
      <c r="C96" s="219">
        <f t="shared" ca="1" si="4"/>
        <v>7.3068493150684928</v>
      </c>
      <c r="D96" s="171">
        <f ca="1">IF(NOT($C$6),"",IF(GetConvertDate(CDSRollDate,B96)&lt;Parameter_Date,0,GetGetDefaultprob($I$6,B96)))</f>
        <v>5.4618007625468312E-2</v>
      </c>
      <c r="E96" s="180">
        <f t="shared" ca="1" si="6"/>
        <v>1.0143267553862722E-2</v>
      </c>
      <c r="F96" s="166"/>
      <c r="G96" s="167"/>
    </row>
    <row r="97" spans="2:7" x14ac:dyDescent="0.3">
      <c r="B97" s="186" t="str">
        <f t="shared" ca="1" si="5"/>
        <v>88M</v>
      </c>
      <c r="C97" s="219">
        <f t="shared" ca="1" si="4"/>
        <v>7.3890410958904109</v>
      </c>
      <c r="D97" s="171">
        <f ca="1">IF(NOT($C$6),"",IF(GetConvertDate(CDSRollDate,B97)&lt;Parameter_Date,0,GetGetDefaultprob($I$6,B97)))</f>
        <v>5.5405837736285379E-2</v>
      </c>
      <c r="E97" s="180">
        <f t="shared" ca="1" si="6"/>
        <v>1.0143267553861367E-2</v>
      </c>
      <c r="F97" s="166"/>
      <c r="G97" s="167"/>
    </row>
    <row r="98" spans="2:7" x14ac:dyDescent="0.3">
      <c r="B98" s="186" t="str">
        <f t="shared" ca="1" si="5"/>
        <v>89M</v>
      </c>
      <c r="C98" s="219">
        <f t="shared" ca="1" si="4"/>
        <v>7.4739726027397264</v>
      </c>
      <c r="D98" s="171">
        <f ca="1">IF(NOT($C$6),"",IF(GetConvertDate(CDSRollDate,B98)&lt;Parameter_Date,0,GetGetDefaultprob($I$6,B98)))</f>
        <v>5.6219239130784637E-2</v>
      </c>
      <c r="E98" s="180">
        <f t="shared" ca="1" si="6"/>
        <v>1.0143267553862616E-2</v>
      </c>
      <c r="F98" s="166"/>
      <c r="G98" s="167"/>
    </row>
    <row r="99" spans="2:7" x14ac:dyDescent="0.3">
      <c r="B99" s="186" t="str">
        <f t="shared" ca="1" si="5"/>
        <v>90M</v>
      </c>
      <c r="C99" s="219">
        <f t="shared" ca="1" si="4"/>
        <v>7.558904109589041</v>
      </c>
      <c r="D99" s="171">
        <f ca="1">IF(NOT($C$6),"",IF(GetConvertDate(CDSRollDate,B99)&lt;Parameter_Date,0,GetGetDefaultprob($I$6,B99)))</f>
        <v>5.7031940095559674E-2</v>
      </c>
      <c r="E99" s="180">
        <f t="shared" ca="1" si="6"/>
        <v>1.0143267553862722E-2</v>
      </c>
      <c r="F99" s="166"/>
      <c r="G99" s="167"/>
    </row>
    <row r="100" spans="2:7" x14ac:dyDescent="0.3">
      <c r="B100" s="186" t="str">
        <f t="shared" ca="1" si="5"/>
        <v>91M</v>
      </c>
      <c r="C100" s="219">
        <f t="shared" ca="1" si="4"/>
        <v>7.6410958904109592</v>
      </c>
      <c r="D100" s="171">
        <f ca="1">IF(NOT($C$6),"",IF(GetConvertDate(CDSRollDate,B100)&lt;Parameter_Date,0,GetGetDefaultprob($I$6,B100)))</f>
        <v>5.7817758565896327E-2</v>
      </c>
      <c r="E100" s="180">
        <f t="shared" ca="1" si="6"/>
        <v>1.0143267553862721E-2</v>
      </c>
      <c r="F100" s="166"/>
      <c r="G100" s="167"/>
    </row>
    <row r="101" spans="2:7" x14ac:dyDescent="0.3">
      <c r="B101" s="186" t="str">
        <f t="shared" ca="1" si="5"/>
        <v>92M</v>
      </c>
      <c r="C101" s="219">
        <f t="shared" ca="1" si="4"/>
        <v>7.7260273972602738</v>
      </c>
      <c r="D101" s="171">
        <f ca="1">IF(NOT($C$6),"",IF(GetConvertDate(CDSRollDate,B101)&lt;Parameter_Date,0,GetGetDefaultprob($I$6,B101)))</f>
        <v>5.8629083026359163E-2</v>
      </c>
      <c r="E101" s="180">
        <f t="shared" ca="1" si="6"/>
        <v>1.0143267553862722E-2</v>
      </c>
      <c r="F101" s="166"/>
      <c r="G101" s="167"/>
    </row>
    <row r="102" spans="2:7" x14ac:dyDescent="0.3">
      <c r="B102" s="186" t="str">
        <f t="shared" ca="1" si="5"/>
        <v>93M</v>
      </c>
      <c r="C102" s="219">
        <f t="shared" ca="1" si="4"/>
        <v>7.8082191780821919</v>
      </c>
      <c r="D102" s="171">
        <f ca="1">IF(NOT($C$6),"",IF(GetConvertDate(CDSRollDate,B102)&lt;Parameter_Date,0,GetGetDefaultprob($I$6,B102)))</f>
        <v>5.9413570524345705E-2</v>
      </c>
      <c r="E102" s="180">
        <f t="shared" ca="1" si="6"/>
        <v>1.0143267553862721E-2</v>
      </c>
      <c r="F102" s="166"/>
      <c r="G102" s="167"/>
    </row>
    <row r="103" spans="2:7" x14ac:dyDescent="0.3">
      <c r="B103" s="186" t="str">
        <f t="shared" ca="1" si="5"/>
        <v>94M</v>
      </c>
      <c r="C103" s="219">
        <f t="shared" ca="1" si="4"/>
        <v>7.8931506849315065</v>
      </c>
      <c r="D103" s="171">
        <f ca="1">IF(NOT($C$6),"",IF(GetConvertDate(CDSRollDate,B103)&lt;Parameter_Date,0,GetGetDefaultprob($I$6,B103)))</f>
        <v>6.0223520811937048E-2</v>
      </c>
      <c r="E103" s="180">
        <f t="shared" ca="1" si="6"/>
        <v>1.0143267553862722E-2</v>
      </c>
      <c r="F103" s="166"/>
      <c r="G103" s="167"/>
    </row>
    <row r="104" spans="2:7" x14ac:dyDescent="0.3">
      <c r="B104" s="186" t="str">
        <f t="shared" ca="1" si="5"/>
        <v>95M</v>
      </c>
      <c r="C104" s="219">
        <f t="shared" ca="1" si="4"/>
        <v>7.978082191780822</v>
      </c>
      <c r="D104" s="171">
        <f ca="1">IF(NOT($C$6),"",IF(GetConvertDate(CDSRollDate,B104)&lt;Parameter_Date,0,GetGetDefaultprob($I$6,B104)))</f>
        <v>6.1032773641593763E-2</v>
      </c>
      <c r="E104" s="180">
        <f t="shared" ca="1" si="6"/>
        <v>1.0143267553862616E-2</v>
      </c>
      <c r="F104" s="166"/>
      <c r="G104" s="167"/>
    </row>
    <row r="105" spans="2:7" x14ac:dyDescent="0.3">
      <c r="B105" s="186" t="str">
        <f t="shared" ca="1" si="5"/>
        <v>96M</v>
      </c>
      <c r="C105" s="219">
        <f t="shared" ca="1" si="4"/>
        <v>8.0575342465753419</v>
      </c>
      <c r="D105" s="171">
        <f ca="1">IF(NOT($C$6),"",IF(GetConvertDate(CDSRollDate,B105)&lt;Parameter_Date,0,GetGetDefaultprob($I$6,B105)))</f>
        <v>6.178918572977421E-2</v>
      </c>
      <c r="E105" s="180">
        <f t="shared" ca="1" si="6"/>
        <v>1.0143267553862856E-2</v>
      </c>
      <c r="F105" s="166"/>
      <c r="G105" s="167"/>
    </row>
    <row r="106" spans="2:7" x14ac:dyDescent="0.3">
      <c r="B106" s="186" t="str">
        <f t="shared" ca="1" si="5"/>
        <v>97M</v>
      </c>
      <c r="C106" s="219">
        <f t="shared" ref="C106:C129" ca="1" si="7">MAX(0,(DATE(YEAR(CDSRollDate),MONTH(CDSRollDate)+ROW()-ROW($B$9),DAY(CDSRollDate))-Parameter_Date)/365)</f>
        <v>8.1424657534246574</v>
      </c>
      <c r="D106" s="171">
        <f ca="1">IF(NOT($C$6),"",IF(GetConvertDate(CDSRollDate,B106)&lt;Parameter_Date,0,GetGetDefaultprob($I$6,B106)))</f>
        <v>6.2597090346538709E-2</v>
      </c>
      <c r="E106" s="180">
        <f t="shared" ca="1" si="6"/>
        <v>1.0143267553862616E-2</v>
      </c>
      <c r="F106" s="166"/>
      <c r="G106" s="167"/>
    </row>
    <row r="107" spans="2:7" x14ac:dyDescent="0.3">
      <c r="B107" s="186" t="str">
        <f t="shared" ca="1" si="5"/>
        <v>98M</v>
      </c>
      <c r="C107" s="219">
        <f t="shared" ca="1" si="7"/>
        <v>8.2246575342465746</v>
      </c>
      <c r="D107" s="171">
        <f ca="1">IF(NOT($C$6),"",IF(GetConvertDate(CDSRollDate,B107)&lt;Parameter_Date,0,GetGetDefaultprob($I$6,B107)))</f>
        <v>6.3378271122298768E-2</v>
      </c>
      <c r="E107" s="180">
        <f t="shared" ca="1" si="6"/>
        <v>1.0143267553864181E-2</v>
      </c>
      <c r="F107" s="166"/>
      <c r="G107" s="167"/>
    </row>
    <row r="108" spans="2:7" x14ac:dyDescent="0.3">
      <c r="B108" s="186" t="str">
        <f t="shared" ca="1" si="5"/>
        <v>99M</v>
      </c>
      <c r="C108" s="219">
        <f t="shared" ca="1" si="7"/>
        <v>8.3095890410958901</v>
      </c>
      <c r="D108" s="171">
        <f ca="1">IF(NOT($C$6),"",IF(GetConvertDate(CDSRollDate,B108)&lt;Parameter_Date,0,GetGetDefaultprob($I$6,B108)))</f>
        <v>6.4184807358518614E-2</v>
      </c>
      <c r="E108" s="180">
        <f t="shared" ca="1" si="6"/>
        <v>1.0143267553862616E-2</v>
      </c>
      <c r="F108" s="166"/>
      <c r="G108" s="167"/>
    </row>
    <row r="109" spans="2:7" x14ac:dyDescent="0.3">
      <c r="B109" s="186" t="str">
        <f t="shared" ca="1" si="5"/>
        <v>100M</v>
      </c>
      <c r="C109" s="219">
        <f t="shared" ca="1" si="7"/>
        <v>8.3917808219178074</v>
      </c>
      <c r="D109" s="171">
        <f ca="1">IF(NOT($C$6),"",IF(GetConvertDate(CDSRollDate,B109)&lt;Parameter_Date,0,GetGetDefaultprob($I$6,B109)))</f>
        <v>6.4964665016978285E-2</v>
      </c>
      <c r="E109" s="180">
        <f t="shared" ca="1" si="6"/>
        <v>1.014326755386283E-2</v>
      </c>
      <c r="F109" s="166"/>
      <c r="G109" s="167"/>
    </row>
    <row r="110" spans="2:7" x14ac:dyDescent="0.3">
      <c r="B110" s="186" t="str">
        <f t="shared" ca="1" si="5"/>
        <v>101M</v>
      </c>
      <c r="C110" s="219">
        <f t="shared" ca="1" si="7"/>
        <v>8.4767123287671229</v>
      </c>
      <c r="D110" s="171">
        <f ca="1">IF(NOT($C$6),"",IF(GetConvertDate(CDSRollDate,B110)&lt;Parameter_Date,0,GetGetDefaultprob($I$6,B110)))</f>
        <v>6.5769835190334525E-2</v>
      </c>
      <c r="E110" s="180">
        <f t="shared" ca="1" si="6"/>
        <v>1.0143267553861307E-2</v>
      </c>
      <c r="F110" s="166"/>
      <c r="G110" s="167"/>
    </row>
    <row r="111" spans="2:7" x14ac:dyDescent="0.3">
      <c r="B111" s="186" t="str">
        <f t="shared" ca="1" si="5"/>
        <v>102M</v>
      </c>
      <c r="C111" s="219">
        <f t="shared" ca="1" si="7"/>
        <v>8.5616438356164384</v>
      </c>
      <c r="D111" s="171">
        <f ca="1">IF(NOT($C$6),"",IF(GetConvertDate(CDSRollDate,B111)&lt;Parameter_Date,0,GetGetDefaultprob($I$6,B111)))</f>
        <v>6.6574312021970283E-2</v>
      </c>
      <c r="E111" s="180">
        <f t="shared" ca="1" si="6"/>
        <v>1.0143267553863924E-2</v>
      </c>
      <c r="F111" s="166"/>
      <c r="G111" s="167"/>
    </row>
    <row r="112" spans="2:7" x14ac:dyDescent="0.3">
      <c r="B112" s="186" t="str">
        <f t="shared" ca="1" si="5"/>
        <v>103M</v>
      </c>
      <c r="C112" s="219">
        <f t="shared" ca="1" si="7"/>
        <v>8.6438356164383556</v>
      </c>
      <c r="D112" s="171">
        <f ca="1">IF(NOT($C$6),"",IF(GetConvertDate(CDSRollDate,B112)&lt;Parameter_Date,0,GetGetDefaultprob($I$6,B112)))</f>
        <v>6.7352178396759443E-2</v>
      </c>
      <c r="E112" s="180">
        <f t="shared" ca="1" si="6"/>
        <v>1.014326755386283E-2</v>
      </c>
      <c r="F112" s="166"/>
      <c r="G112" s="167"/>
    </row>
    <row r="113" spans="2:7" x14ac:dyDescent="0.3">
      <c r="B113" s="186" t="str">
        <f t="shared" ca="1" si="5"/>
        <v>104M</v>
      </c>
      <c r="C113" s="219">
        <f t="shared" ca="1" si="7"/>
        <v>8.7287671232876711</v>
      </c>
      <c r="D113" s="171">
        <f ca="1">IF(NOT($C$6),"",IF(GetConvertDate(CDSRollDate,B113)&lt;Parameter_Date,0,GetGetDefaultprob($I$6,B113)))</f>
        <v>6.8155292653627964E-2</v>
      </c>
      <c r="E113" s="180">
        <f t="shared" ca="1" si="6"/>
        <v>1.0143267553862616E-2</v>
      </c>
      <c r="F113" s="166"/>
      <c r="G113" s="167"/>
    </row>
    <row r="114" spans="2:7" x14ac:dyDescent="0.3">
      <c r="B114" s="186" t="str">
        <f t="shared" ca="1" si="5"/>
        <v>105M</v>
      </c>
      <c r="C114" s="219">
        <f t="shared" ca="1" si="7"/>
        <v>8.8109589041095884</v>
      </c>
      <c r="D114" s="171">
        <f ca="1">IF(NOT($C$6),"",IF(GetConvertDate(CDSRollDate,B114)&lt;Parameter_Date,0,GetGetDefaultprob($I$6,B114)))</f>
        <v>6.8931841524851101E-2</v>
      </c>
      <c r="E114" s="180">
        <f t="shared" ca="1" si="6"/>
        <v>1.014326755386283E-2</v>
      </c>
      <c r="F114" s="166"/>
      <c r="G114" s="167"/>
    </row>
    <row r="115" spans="2:7" x14ac:dyDescent="0.3">
      <c r="B115" s="186" t="str">
        <f t="shared" ca="1" si="5"/>
        <v>106M</v>
      </c>
      <c r="C115" s="219">
        <f t="shared" ca="1" si="7"/>
        <v>8.8958904109589039</v>
      </c>
      <c r="D115" s="171">
        <f ca="1">IF(NOT($C$6),"",IF(GetConvertDate(CDSRollDate,B115)&lt;Parameter_Date,0,GetGetDefaultprob($I$6,B115)))</f>
        <v>6.9733595514800073E-2</v>
      </c>
      <c r="E115" s="180">
        <f t="shared" ca="1" si="6"/>
        <v>1.0143267553861307E-2</v>
      </c>
      <c r="F115" s="166"/>
      <c r="G115" s="167"/>
    </row>
    <row r="116" spans="2:7" x14ac:dyDescent="0.3">
      <c r="B116" s="186" t="str">
        <f t="shared" ca="1" si="5"/>
        <v>107M</v>
      </c>
      <c r="C116" s="219">
        <f t="shared" ca="1" si="7"/>
        <v>8.9808219178082194</v>
      </c>
      <c r="D116" s="171">
        <f ca="1">IF(NOT($C$6),"",IF(GetConvertDate(CDSRollDate,B116)&lt;Parameter_Date,0,GetGetDefaultprob($I$6,B116)))</f>
        <v>7.0534659104745212E-2</v>
      </c>
      <c r="E116" s="180">
        <f t="shared" ca="1" si="6"/>
        <v>1.0143267553863924E-2</v>
      </c>
      <c r="F116" s="166"/>
      <c r="G116" s="167"/>
    </row>
    <row r="117" spans="2:7" x14ac:dyDescent="0.3">
      <c r="B117" s="186" t="str">
        <f t="shared" ca="1" si="5"/>
        <v>108M</v>
      </c>
      <c r="C117" s="219">
        <f t="shared" ca="1" si="7"/>
        <v>9.0575342465753419</v>
      </c>
      <c r="D117" s="171">
        <f ca="1">IF(NOT($C$6),"",IF(GetConvertDate(CDSRollDate,B117)&lt;Parameter_Date,0,GetGetDefaultprob($I$6,B117)))</f>
        <v>7.1257607492783204E-2</v>
      </c>
      <c r="E117" s="180">
        <f t="shared" ca="1" si="6"/>
        <v>1.0143267553860103E-2</v>
      </c>
      <c r="F117" s="166"/>
      <c r="G117" s="167"/>
    </row>
    <row r="118" spans="2:7" x14ac:dyDescent="0.3">
      <c r="B118" s="186" t="str">
        <f t="shared" ca="1" si="5"/>
        <v>109M</v>
      </c>
      <c r="C118" s="219">
        <f t="shared" ca="1" si="7"/>
        <v>9.1424657534246574</v>
      </c>
      <c r="D118" s="171">
        <f ca="1">IF(NOT($C$6),"",IF(GetConvertDate(CDSRollDate,B118)&lt;Parameter_Date,0,GetGetDefaultprob($I$6,B118)))</f>
        <v>7.2057358737683597E-2</v>
      </c>
      <c r="E118" s="180">
        <f t="shared" ca="1" si="6"/>
        <v>1.0143267553863924E-2</v>
      </c>
      <c r="F118" s="166"/>
      <c r="G118" s="167"/>
    </row>
    <row r="119" spans="2:7" x14ac:dyDescent="0.3">
      <c r="B119" s="186" t="str">
        <f t="shared" ca="1" si="5"/>
        <v>110M</v>
      </c>
      <c r="C119" s="219">
        <f t="shared" ca="1" si="7"/>
        <v>9.2246575342465746</v>
      </c>
      <c r="D119" s="171">
        <f ca="1">IF(NOT($C$6),"",IF(GetConvertDate(CDSRollDate,B119)&lt;Parameter_Date,0,GetGetDefaultprob($I$6,B119)))</f>
        <v>7.2830655838532099E-2</v>
      </c>
      <c r="E119" s="180">
        <f t="shared" ca="1" si="6"/>
        <v>1.0143267553861478E-2</v>
      </c>
      <c r="F119" s="166"/>
      <c r="G119" s="167"/>
    </row>
    <row r="120" spans="2:7" x14ac:dyDescent="0.3">
      <c r="B120" s="186" t="str">
        <f t="shared" ca="1" si="5"/>
        <v>111M</v>
      </c>
      <c r="C120" s="219">
        <f t="shared" ca="1" si="7"/>
        <v>9.3095890410958901</v>
      </c>
      <c r="D120" s="171">
        <f ca="1">IF(NOT($C$6),"",IF(GetConvertDate(CDSRollDate,B120)&lt;Parameter_Date,0,GetGetDefaultprob($I$6,B120)))</f>
        <v>7.3629052512581561E-2</v>
      </c>
      <c r="E120" s="180">
        <f t="shared" ca="1" si="6"/>
        <v>1.0143267553862616E-2</v>
      </c>
      <c r="F120" s="166"/>
      <c r="G120" s="167"/>
    </row>
    <row r="121" spans="2:7" x14ac:dyDescent="0.3">
      <c r="B121" s="186" t="str">
        <f t="shared" ca="1" si="5"/>
        <v>112M</v>
      </c>
      <c r="C121" s="219">
        <f t="shared" ca="1" si="7"/>
        <v>9.3917808219178074</v>
      </c>
      <c r="D121" s="171">
        <f ca="1">IF(NOT($C$6),"",IF(GetConvertDate(CDSRollDate,B121)&lt;Parameter_Date,0,GetGetDefaultprob($I$6,B121)))</f>
        <v>7.4401039849027129E-2</v>
      </c>
      <c r="E121" s="180">
        <f t="shared" ca="1" si="6"/>
        <v>1.014326755386283E-2</v>
      </c>
      <c r="F121" s="166"/>
      <c r="G121" s="167"/>
    </row>
    <row r="122" spans="2:7" x14ac:dyDescent="0.3">
      <c r="B122" s="186" t="str">
        <f t="shared" ca="1" si="5"/>
        <v>113M</v>
      </c>
      <c r="C122" s="219">
        <f t="shared" ca="1" si="7"/>
        <v>9.4767123287671229</v>
      </c>
      <c r="D122" s="171">
        <f ca="1">IF(NOT($C$6),"",IF(GetConvertDate(CDSRollDate,B122)&lt;Parameter_Date,0,GetGetDefaultprob($I$6,B122)))</f>
        <v>7.5198084246516972E-2</v>
      </c>
      <c r="E122" s="180">
        <f t="shared" ca="1" si="6"/>
        <v>1.0143267553862616E-2</v>
      </c>
      <c r="F122" s="166"/>
      <c r="G122" s="167"/>
    </row>
    <row r="123" spans="2:7" x14ac:dyDescent="0.3">
      <c r="B123" s="186" t="str">
        <f t="shared" ca="1" si="5"/>
        <v>114M</v>
      </c>
      <c r="C123" s="219">
        <f t="shared" ca="1" si="7"/>
        <v>9.5616438356164384</v>
      </c>
      <c r="D123" s="171">
        <f ca="1">IF(NOT($C$6),"",IF(GetConvertDate(CDSRollDate,B123)&lt;Parameter_Date,0,GetGetDefaultprob($I$6,B123)))</f>
        <v>7.5994442299489373E-2</v>
      </c>
      <c r="E123" s="180">
        <f t="shared" ca="1" si="6"/>
        <v>1.0143267553862616E-2</v>
      </c>
      <c r="F123" s="166"/>
      <c r="G123" s="167"/>
    </row>
    <row r="124" spans="2:7" x14ac:dyDescent="0.3">
      <c r="B124" s="186" t="str">
        <f t="shared" ca="1" si="5"/>
        <v>115M</v>
      </c>
      <c r="C124" s="219">
        <f t="shared" ca="1" si="7"/>
        <v>9.6438356164383556</v>
      </c>
      <c r="D124" s="171">
        <f ca="1">IF(NOT($C$6),"",IF(GetConvertDate(CDSRollDate,B124)&lt;Parameter_Date,0,GetGetDefaultprob($I$6,B124)))</f>
        <v>7.6764458448295492E-2</v>
      </c>
      <c r="E124" s="180">
        <f t="shared" ca="1" si="6"/>
        <v>1.014326755386283E-2</v>
      </c>
      <c r="F124" s="166"/>
      <c r="G124" s="167"/>
    </row>
    <row r="125" spans="2:7" x14ac:dyDescent="0.3">
      <c r="B125" s="186" t="str">
        <f t="shared" ca="1" si="5"/>
        <v>116M</v>
      </c>
      <c r="C125" s="219">
        <f t="shared" ca="1" si="7"/>
        <v>9.7287671232876711</v>
      </c>
      <c r="D125" s="171">
        <f ca="1">IF(NOT($C$6),"",IF(GetConvertDate(CDSRollDate,B125)&lt;Parameter_Date,0,GetGetDefaultprob($I$6,B125)))</f>
        <v>7.75594676776028E-2</v>
      </c>
      <c r="E125" s="180">
        <f t="shared" ca="1" si="6"/>
        <v>1.0143267553862616E-2</v>
      </c>
      <c r="F125" s="166"/>
      <c r="G125" s="167"/>
    </row>
    <row r="126" spans="2:7" x14ac:dyDescent="0.3">
      <c r="B126" s="186" t="str">
        <f t="shared" ca="1" si="5"/>
        <v>117M</v>
      </c>
      <c r="C126" s="219">
        <f t="shared" ca="1" si="7"/>
        <v>9.8109589041095884</v>
      </c>
      <c r="D126" s="171">
        <f ca="1">IF(NOT($C$6),"",IF(GetConvertDate(CDSRollDate,B126)&lt;Parameter_Date,0,GetGetDefaultprob($I$6,B126)))</f>
        <v>7.8328179619086336E-2</v>
      </c>
      <c r="E126" s="180">
        <f t="shared" ca="1" si="6"/>
        <v>1.014326755386283E-2</v>
      </c>
      <c r="F126" s="166"/>
      <c r="G126" s="167"/>
    </row>
    <row r="127" spans="2:7" x14ac:dyDescent="0.3">
      <c r="B127" s="186" t="str">
        <f t="shared" ca="1" si="5"/>
        <v>118M</v>
      </c>
      <c r="C127" s="219">
        <f t="shared" ca="1" si="7"/>
        <v>9.8958904109589039</v>
      </c>
      <c r="D127" s="171">
        <f ca="1">IF(NOT($C$6),"",IF(GetConvertDate(CDSRollDate,B127)&lt;Parameter_Date,0,GetGetDefaultprob($I$6,B127)))</f>
        <v>7.9121842309285317E-2</v>
      </c>
      <c r="E127" s="180">
        <f t="shared" ca="1" si="6"/>
        <v>1.0143267553862616E-2</v>
      </c>
      <c r="F127" s="166"/>
      <c r="G127" s="167"/>
    </row>
    <row r="128" spans="2:7" x14ac:dyDescent="0.3">
      <c r="B128" s="186" t="str">
        <f t="shared" ca="1" si="5"/>
        <v>119M</v>
      </c>
      <c r="C128" s="219">
        <f t="shared" ca="1" si="7"/>
        <v>9.9808219178082194</v>
      </c>
      <c r="D128" s="171">
        <f ca="1">IF(NOT($C$6),"",IF(GetConvertDate(CDSRollDate,B128)&lt;Parameter_Date,0,GetGetDefaultprob($I$6,B128)))</f>
        <v>7.9914821566995808E-2</v>
      </c>
      <c r="E128" s="180">
        <f t="shared" ca="1" si="6"/>
        <v>1.0143267553862616E-2</v>
      </c>
      <c r="F128" s="166"/>
      <c r="G128" s="167"/>
    </row>
    <row r="129" spans="2:7" ht="15" thickBot="1" x14ac:dyDescent="0.35">
      <c r="B129" s="187" t="str">
        <f t="shared" ca="1" si="5"/>
        <v>120M</v>
      </c>
      <c r="C129" s="220">
        <f t="shared" ca="1" si="7"/>
        <v>10.057534246575342</v>
      </c>
      <c r="D129" s="181">
        <f ca="1">IF(NOT($C$6),"",IF(GetConvertDate(CDSRollDate,B129)&lt;Parameter_Date,0,GetGetDefaultprob($I$6,B129)))</f>
        <v>8.0630473961269322E-2</v>
      </c>
      <c r="E129" s="221">
        <f t="shared" ca="1" si="6"/>
        <v>1.0143267553863E-2</v>
      </c>
      <c r="F129" s="166"/>
      <c r="G129" s="167"/>
    </row>
    <row r="130" spans="2:7" x14ac:dyDescent="0.3">
      <c r="B130" s="178"/>
    </row>
  </sheetData>
  <mergeCells count="2">
    <mergeCell ref="I6:K6"/>
    <mergeCell ref="I7:K7"/>
  </mergeCells>
  <dataValidations disablePrompts="1" count="1">
    <dataValidation type="list" allowBlank="1" showInputMessage="1" showErrorMessage="1" sqref="C6" xr:uid="{848E409E-7E16-421D-9137-C13D016B0C6B}">
      <formula1>TrueFalseList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2" r:id="rId3" name="Button 8">
              <controlPr defaultSize="0" print="0" autoFill="0" autoPict="0" macro="[0]!CurrentRegionCalculate">
                <anchor moveWithCells="1" sizeWithCells="1">
                  <from>
                    <xdr:col>3</xdr:col>
                    <xdr:colOff>601980</xdr:colOff>
                    <xdr:row>3</xdr:row>
                    <xdr:rowOff>30480</xdr:rowOff>
                  </from>
                  <to>
                    <xdr:col>6</xdr:col>
                    <xdr:colOff>190500</xdr:colOff>
                    <xdr:row>5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EB9B24-E033-4F9C-B596-6F00D2E5C675}">
  <sheetPr codeName="Sheet18">
    <pageSetUpPr fitToPage="1"/>
  </sheetPr>
  <dimension ref="A4:I338"/>
  <sheetViews>
    <sheetView showGridLines="0" topLeftCell="A21" zoomScale="80" workbookViewId="0">
      <selection activeCell="C35" sqref="C35"/>
    </sheetView>
  </sheetViews>
  <sheetFormatPr baseColWidth="10" defaultColWidth="11.44140625" defaultRowHeight="10.199999999999999" x14ac:dyDescent="0.2"/>
  <cols>
    <col min="1" max="1" width="3.109375" style="235" customWidth="1"/>
    <col min="2" max="2" width="17.21875" style="235" customWidth="1"/>
    <col min="3" max="3" width="20" style="236" customWidth="1"/>
    <col min="4" max="4" width="10.44140625" style="236" bestFit="1" customWidth="1"/>
    <col min="5" max="5" width="10" style="236" bestFit="1" customWidth="1"/>
    <col min="6" max="6" width="9.109375" style="236" customWidth="1"/>
    <col min="7" max="7" width="1.109375" style="236" customWidth="1"/>
    <col min="8" max="8" width="11.5546875" style="236" customWidth="1"/>
    <col min="9" max="9" width="7.109375" style="235" customWidth="1"/>
    <col min="10" max="10" width="8.88671875" style="235" customWidth="1"/>
    <col min="11" max="11" width="16.5546875" style="235" bestFit="1" customWidth="1"/>
    <col min="12" max="12" width="16.77734375" style="235" bestFit="1" customWidth="1"/>
    <col min="13" max="13" width="9.109375" style="235" customWidth="1"/>
    <col min="14" max="14" width="28.5546875" style="235" bestFit="1" customWidth="1"/>
    <col min="15" max="15" width="2.21875" style="235" customWidth="1"/>
    <col min="16" max="16" width="10.77734375" style="235" customWidth="1"/>
    <col min="17" max="20" width="8.77734375" style="235" customWidth="1"/>
    <col min="21" max="21" width="13.109375" style="235" bestFit="1" customWidth="1"/>
    <col min="22" max="23" width="11.44140625" style="235" customWidth="1"/>
    <col min="24" max="24" width="13.109375" style="235" customWidth="1"/>
    <col min="25" max="16384" width="11.44140625" style="235"/>
  </cols>
  <sheetData>
    <row r="4" spans="1:9" ht="10.8" thickBot="1" x14ac:dyDescent="0.25"/>
    <row r="5" spans="1:9" ht="10.8" thickBot="1" x14ac:dyDescent="0.25">
      <c r="H5" s="290" t="s">
        <v>423</v>
      </c>
      <c r="I5" s="237" t="b">
        <v>1</v>
      </c>
    </row>
    <row r="6" spans="1:9" ht="10.8" thickBot="1" x14ac:dyDescent="0.25">
      <c r="B6" s="291" t="s">
        <v>432</v>
      </c>
      <c r="C6" s="238" t="s">
        <v>57</v>
      </c>
    </row>
    <row r="7" spans="1:9" customFormat="1" ht="14.4" x14ac:dyDescent="0.3">
      <c r="A7" s="235"/>
      <c r="B7" s="291" t="s">
        <v>457</v>
      </c>
      <c r="C7" s="239">
        <f ca="1">GetConvertDate(CDSRollDate,C6)</f>
        <v>45463</v>
      </c>
      <c r="D7" s="236"/>
      <c r="E7" s="240"/>
      <c r="F7" s="236"/>
      <c r="G7" s="236"/>
    </row>
    <row r="8" spans="1:9" customFormat="1" ht="14.4" x14ac:dyDescent="0.3">
      <c r="A8" s="235"/>
      <c r="B8" s="292" t="s">
        <v>82</v>
      </c>
      <c r="C8" s="241" t="s">
        <v>66</v>
      </c>
      <c r="D8" s="236"/>
      <c r="E8" s="236"/>
      <c r="F8" s="236"/>
      <c r="G8" s="236"/>
    </row>
    <row r="9" spans="1:9" customFormat="1" ht="14.4" x14ac:dyDescent="0.3">
      <c r="A9" s="235"/>
      <c r="B9" s="292" t="s">
        <v>437</v>
      </c>
      <c r="C9" s="242">
        <v>-0.05</v>
      </c>
      <c r="D9" s="236"/>
      <c r="E9" s="236"/>
      <c r="F9" s="236"/>
      <c r="G9" s="236"/>
    </row>
    <row r="10" spans="1:9" customFormat="1" ht="15" thickBot="1" x14ac:dyDescent="0.35">
      <c r="A10" s="235"/>
      <c r="B10" s="293" t="s">
        <v>439</v>
      </c>
      <c r="C10" s="243">
        <v>0.1</v>
      </c>
      <c r="D10" s="236"/>
      <c r="E10" s="235"/>
      <c r="F10" s="236"/>
      <c r="G10" s="236"/>
    </row>
    <row r="11" spans="1:9" customFormat="1" ht="15" thickBot="1" x14ac:dyDescent="0.35">
      <c r="A11" s="235"/>
      <c r="B11" s="235"/>
      <c r="C11" s="235"/>
      <c r="D11" s="236"/>
      <c r="E11" s="236"/>
      <c r="F11" s="236"/>
      <c r="G11" s="236"/>
    </row>
    <row r="12" spans="1:9" customFormat="1" ht="14.4" x14ac:dyDescent="0.3">
      <c r="A12" s="235"/>
      <c r="B12" s="291" t="s">
        <v>434</v>
      </c>
      <c r="C12" s="244">
        <v>0.05</v>
      </c>
      <c r="D12" s="236"/>
      <c r="E12" s="236"/>
      <c r="F12" s="236"/>
      <c r="G12" s="236"/>
    </row>
    <row r="13" spans="1:9" customFormat="1" ht="14.4" x14ac:dyDescent="0.3">
      <c r="A13" s="235"/>
      <c r="B13" s="292" t="s">
        <v>458</v>
      </c>
      <c r="C13" s="241" t="s">
        <v>459</v>
      </c>
      <c r="D13" s="236"/>
      <c r="E13" s="236"/>
      <c r="F13" s="236"/>
      <c r="G13" s="236"/>
    </row>
    <row r="14" spans="1:9" customFormat="1" ht="14.4" x14ac:dyDescent="0.3">
      <c r="A14" s="235"/>
      <c r="B14" s="292" t="s">
        <v>461</v>
      </c>
      <c r="C14" s="241" t="s">
        <v>445</v>
      </c>
      <c r="D14" s="236"/>
      <c r="E14" s="236"/>
      <c r="F14" s="236"/>
      <c r="G14" s="236"/>
    </row>
    <row r="15" spans="1:9" customFormat="1" ht="15" thickBot="1" x14ac:dyDescent="0.35">
      <c r="A15" s="235"/>
      <c r="B15" s="293" t="s">
        <v>462</v>
      </c>
      <c r="C15" s="245"/>
      <c r="D15" s="236"/>
      <c r="E15" s="236"/>
      <c r="F15" s="236"/>
      <c r="G15" s="236"/>
    </row>
    <row r="16" spans="1:9" customFormat="1" ht="15" thickBot="1" x14ac:dyDescent="0.35">
      <c r="A16" s="235"/>
      <c r="B16" s="235"/>
      <c r="C16" s="236"/>
      <c r="D16" s="236"/>
      <c r="E16" s="236"/>
      <c r="F16" s="236"/>
      <c r="G16" s="236"/>
    </row>
    <row r="17" spans="1:7" customFormat="1" ht="14.4" x14ac:dyDescent="0.3">
      <c r="A17" s="235"/>
      <c r="B17" s="291" t="s">
        <v>463</v>
      </c>
      <c r="C17" s="246">
        <f ca="1">COUNTA(C39:C338)</f>
        <v>100</v>
      </c>
      <c r="D17" s="236"/>
      <c r="E17" s="235"/>
      <c r="F17" s="236"/>
      <c r="G17" s="236"/>
    </row>
    <row r="18" spans="1:7" customFormat="1" ht="14.4" x14ac:dyDescent="0.3">
      <c r="A18" s="235"/>
      <c r="B18" s="292" t="s">
        <v>464</v>
      </c>
      <c r="C18" s="247">
        <f ca="1">SUM(OFFSET(D38,1,0,C17))</f>
        <v>100</v>
      </c>
      <c r="D18" s="236"/>
      <c r="E18" s="236"/>
      <c r="F18" s="236"/>
      <c r="G18" s="248"/>
    </row>
    <row r="19" spans="1:7" customFormat="1" ht="14.4" x14ac:dyDescent="0.3">
      <c r="A19" s="235"/>
      <c r="B19" s="292" t="s">
        <v>465</v>
      </c>
      <c r="C19" s="249">
        <v>0</v>
      </c>
      <c r="D19" s="250"/>
      <c r="E19" s="236"/>
      <c r="F19" s="236"/>
      <c r="G19" s="251"/>
    </row>
    <row r="20" spans="1:7" customFormat="1" ht="14.4" x14ac:dyDescent="0.3">
      <c r="A20" s="235"/>
      <c r="B20" s="292" t="s">
        <v>466</v>
      </c>
      <c r="C20" s="249">
        <v>3</v>
      </c>
      <c r="D20" s="250"/>
      <c r="E20" s="236"/>
      <c r="F20" s="236"/>
      <c r="G20" s="251"/>
    </row>
    <row r="21" spans="1:7" customFormat="1" ht="14.4" x14ac:dyDescent="0.3">
      <c r="A21" s="235"/>
      <c r="B21" s="292" t="s">
        <v>467</v>
      </c>
      <c r="C21" s="252">
        <v>0.4</v>
      </c>
      <c r="D21" s="236"/>
      <c r="E21" s="236"/>
      <c r="F21" s="236"/>
      <c r="G21" s="253"/>
    </row>
    <row r="22" spans="1:7" customFormat="1" ht="15" thickBot="1" x14ac:dyDescent="0.35">
      <c r="A22" s="235"/>
      <c r="B22" s="293" t="s">
        <v>468</v>
      </c>
      <c r="C22" s="254">
        <v>0.5</v>
      </c>
      <c r="D22" s="236"/>
      <c r="E22" s="236"/>
      <c r="F22" s="236"/>
      <c r="G22" s="253"/>
    </row>
    <row r="23" spans="1:7" customFormat="1" ht="15" thickBot="1" x14ac:dyDescent="0.35">
      <c r="A23" s="235"/>
      <c r="B23" s="235"/>
      <c r="C23" s="236"/>
      <c r="D23" s="236"/>
      <c r="E23" s="236"/>
      <c r="F23" s="236"/>
      <c r="G23" s="236"/>
    </row>
    <row r="24" spans="1:7" customFormat="1" ht="14.4" x14ac:dyDescent="0.3">
      <c r="A24" s="255"/>
      <c r="B24" s="294" t="s">
        <v>447</v>
      </c>
      <c r="C24" s="256" t="b">
        <v>1</v>
      </c>
      <c r="D24" s="236"/>
      <c r="E24" s="236"/>
      <c r="F24" s="236"/>
      <c r="G24" s="236"/>
    </row>
    <row r="25" spans="1:7" customFormat="1" ht="15" thickBot="1" x14ac:dyDescent="0.35">
      <c r="A25" s="255"/>
      <c r="B25" s="293" t="s">
        <v>448</v>
      </c>
      <c r="C25" s="257" t="b">
        <v>1</v>
      </c>
      <c r="D25" s="236"/>
      <c r="E25" s="236"/>
      <c r="F25" s="236"/>
      <c r="G25" s="236"/>
    </row>
    <row r="26" spans="1:7" customFormat="1" ht="15" thickBot="1" x14ac:dyDescent="0.35">
      <c r="A26" s="235"/>
      <c r="B26" s="235"/>
      <c r="C26" s="236"/>
      <c r="D26" s="236"/>
      <c r="E26" s="236"/>
      <c r="F26" s="236"/>
      <c r="G26" s="236"/>
    </row>
    <row r="27" spans="1:7" customFormat="1" ht="15" thickBot="1" x14ac:dyDescent="0.35">
      <c r="A27" s="235"/>
      <c r="B27" s="291" t="s">
        <v>449</v>
      </c>
      <c r="C27" s="246" t="b">
        <v>1</v>
      </c>
      <c r="D27" s="236"/>
      <c r="E27" s="236"/>
      <c r="F27" s="236"/>
      <c r="G27" s="236"/>
    </row>
    <row r="28" spans="1:7" customFormat="1" ht="15" thickBot="1" x14ac:dyDescent="0.35">
      <c r="A28" s="235"/>
      <c r="B28" s="295" t="s">
        <v>450</v>
      </c>
      <c r="C28" s="258"/>
      <c r="D28" s="236"/>
      <c r="E28" s="236"/>
      <c r="F28" s="236"/>
      <c r="G28" s="236"/>
    </row>
    <row r="29" spans="1:7" customFormat="1" ht="14.4" x14ac:dyDescent="0.3">
      <c r="A29" s="235"/>
      <c r="B29" s="292" t="s">
        <v>469</v>
      </c>
      <c r="C29" s="259"/>
      <c r="D29" s="236"/>
      <c r="E29" s="236"/>
      <c r="F29" s="236"/>
      <c r="G29" s="236"/>
    </row>
    <row r="30" spans="1:7" customFormat="1" ht="14.4" x14ac:dyDescent="0.3">
      <c r="A30" s="235"/>
      <c r="B30" s="292" t="s">
        <v>447</v>
      </c>
      <c r="C30" s="260" t="b">
        <v>1</v>
      </c>
      <c r="D30" s="236"/>
      <c r="E30" s="236"/>
      <c r="F30" s="236"/>
      <c r="G30" s="236"/>
    </row>
    <row r="31" spans="1:7" customFormat="1" ht="15" thickBot="1" x14ac:dyDescent="0.35">
      <c r="A31" s="235"/>
      <c r="B31" s="293" t="s">
        <v>448</v>
      </c>
      <c r="C31" s="257" t="b">
        <v>1</v>
      </c>
      <c r="D31" s="236"/>
      <c r="E31" s="236"/>
      <c r="F31" s="236"/>
      <c r="G31" s="236"/>
    </row>
    <row r="32" spans="1:7" customFormat="1" ht="15" thickBot="1" x14ac:dyDescent="0.35">
      <c r="A32" s="235"/>
      <c r="B32" s="235"/>
      <c r="C32" s="236"/>
      <c r="D32" s="236"/>
      <c r="E32" s="236"/>
      <c r="F32" s="236"/>
      <c r="G32" s="236"/>
    </row>
    <row r="33" spans="1:7" customFormat="1" ht="14.4" x14ac:dyDescent="0.3">
      <c r="A33" s="235"/>
      <c r="B33" s="291" t="s">
        <v>451</v>
      </c>
      <c r="C33" s="261" t="s">
        <v>452</v>
      </c>
      <c r="D33" s="262"/>
      <c r="E33" s="262"/>
      <c r="F33" s="262"/>
      <c r="G33" s="236"/>
    </row>
    <row r="34" spans="1:7" customFormat="1" ht="14.4" x14ac:dyDescent="0.3">
      <c r="A34" s="235"/>
      <c r="B34" s="292" t="s">
        <v>470</v>
      </c>
      <c r="C34" s="263">
        <v>0.01</v>
      </c>
      <c r="D34" s="262"/>
      <c r="E34" s="262"/>
      <c r="F34" s="262"/>
      <c r="G34" s="236"/>
    </row>
    <row r="35" spans="1:7" customFormat="1" ht="14.4" x14ac:dyDescent="0.3">
      <c r="A35" s="235"/>
      <c r="B35" s="292" t="s">
        <v>471</v>
      </c>
      <c r="C35" s="263">
        <v>1</v>
      </c>
      <c r="D35" s="236"/>
      <c r="E35" s="236"/>
      <c r="F35" s="236"/>
      <c r="G35" s="236"/>
    </row>
    <row r="36" spans="1:7" customFormat="1" ht="15" thickBot="1" x14ac:dyDescent="0.35">
      <c r="A36" s="235"/>
      <c r="B36" s="293" t="s">
        <v>472</v>
      </c>
      <c r="C36" s="264"/>
      <c r="D36" s="236"/>
      <c r="E36" s="236"/>
      <c r="F36" s="236"/>
      <c r="G36" s="236"/>
    </row>
    <row r="37" spans="1:7" customFormat="1" ht="15" thickBot="1" x14ac:dyDescent="0.35">
      <c r="A37" s="235"/>
      <c r="B37" s="235"/>
      <c r="C37" s="236"/>
      <c r="D37" s="236"/>
      <c r="E37" s="236"/>
      <c r="F37" s="236"/>
      <c r="G37" s="236"/>
    </row>
    <row r="38" spans="1:7" customFormat="1" ht="15" thickBot="1" x14ac:dyDescent="0.35">
      <c r="A38" s="235"/>
      <c r="B38" s="296" t="s">
        <v>460</v>
      </c>
      <c r="C38" s="265" t="s">
        <v>80</v>
      </c>
      <c r="D38" s="265" t="s">
        <v>473</v>
      </c>
      <c r="E38" s="265" t="s">
        <v>474</v>
      </c>
      <c r="F38" s="265" t="s">
        <v>85</v>
      </c>
      <c r="G38" s="236"/>
    </row>
    <row r="39" spans="1:7" customFormat="1" ht="14.4" x14ac:dyDescent="0.3">
      <c r="A39" s="235"/>
      <c r="B39" s="297">
        <v>1</v>
      </c>
      <c r="C39" s="266" t="s">
        <v>86</v>
      </c>
      <c r="D39" s="267">
        <v>1</v>
      </c>
      <c r="E39" s="259"/>
      <c r="F39" s="242"/>
      <c r="G39" s="236"/>
    </row>
    <row r="40" spans="1:7" customFormat="1" ht="14.4" x14ac:dyDescent="0.3">
      <c r="A40" s="235"/>
      <c r="B40" s="298">
        <v>2</v>
      </c>
      <c r="C40" s="268" t="s">
        <v>88</v>
      </c>
      <c r="D40" s="269">
        <v>1</v>
      </c>
      <c r="E40" s="259"/>
      <c r="F40" s="242"/>
      <c r="G40" s="236"/>
    </row>
    <row r="41" spans="1:7" customFormat="1" ht="12.75" customHeight="1" x14ac:dyDescent="0.3">
      <c r="A41" s="235"/>
      <c r="B41" s="298">
        <v>3</v>
      </c>
      <c r="C41" s="268" t="s">
        <v>89</v>
      </c>
      <c r="D41" s="269">
        <v>1</v>
      </c>
      <c r="E41" s="259"/>
      <c r="F41" s="242"/>
      <c r="G41" s="236"/>
    </row>
    <row r="42" spans="1:7" customFormat="1" ht="14.4" x14ac:dyDescent="0.3">
      <c r="A42" s="235"/>
      <c r="B42" s="298">
        <v>4</v>
      </c>
      <c r="C42" s="268" t="s">
        <v>90</v>
      </c>
      <c r="D42" s="269">
        <v>1</v>
      </c>
      <c r="E42" s="259"/>
      <c r="F42" s="242"/>
      <c r="G42" s="236"/>
    </row>
    <row r="43" spans="1:7" customFormat="1" ht="14.4" x14ac:dyDescent="0.3">
      <c r="A43" s="235"/>
      <c r="B43" s="298">
        <v>5</v>
      </c>
      <c r="C43" s="268" t="s">
        <v>93</v>
      </c>
      <c r="D43" s="269">
        <v>1</v>
      </c>
      <c r="E43" s="259"/>
      <c r="F43" s="242"/>
      <c r="G43" s="236"/>
    </row>
    <row r="44" spans="1:7" customFormat="1" ht="14.4" x14ac:dyDescent="0.3">
      <c r="A44" s="235"/>
      <c r="B44" s="298">
        <v>6</v>
      </c>
      <c r="C44" s="268" t="s">
        <v>94</v>
      </c>
      <c r="D44" s="269">
        <v>1</v>
      </c>
      <c r="E44" s="259"/>
      <c r="F44" s="242"/>
      <c r="G44" s="236"/>
    </row>
    <row r="45" spans="1:7" customFormat="1" ht="14.4" x14ac:dyDescent="0.3">
      <c r="A45" s="235"/>
      <c r="B45" s="298">
        <v>7</v>
      </c>
      <c r="C45" s="268" t="s">
        <v>95</v>
      </c>
      <c r="D45" s="269">
        <v>1</v>
      </c>
      <c r="E45" s="259"/>
      <c r="F45" s="242"/>
      <c r="G45" s="236"/>
    </row>
    <row r="46" spans="1:7" customFormat="1" ht="14.4" x14ac:dyDescent="0.3">
      <c r="A46" s="235"/>
      <c r="B46" s="298">
        <v>8</v>
      </c>
      <c r="C46" s="268" t="s">
        <v>96</v>
      </c>
      <c r="D46" s="269">
        <v>1</v>
      </c>
      <c r="E46" s="259"/>
      <c r="F46" s="242"/>
      <c r="G46" s="236"/>
    </row>
    <row r="47" spans="1:7" customFormat="1" ht="14.4" x14ac:dyDescent="0.3">
      <c r="A47" s="235"/>
      <c r="B47" s="298">
        <v>9</v>
      </c>
      <c r="C47" s="268" t="s">
        <v>97</v>
      </c>
      <c r="D47" s="269">
        <v>1</v>
      </c>
      <c r="E47" s="259"/>
      <c r="F47" s="242"/>
      <c r="G47" s="236"/>
    </row>
    <row r="48" spans="1:7" customFormat="1" ht="14.4" x14ac:dyDescent="0.3">
      <c r="A48" s="235"/>
      <c r="B48" s="298">
        <v>10</v>
      </c>
      <c r="C48" s="268" t="s">
        <v>98</v>
      </c>
      <c r="D48" s="269">
        <v>1</v>
      </c>
      <c r="E48" s="259"/>
      <c r="F48" s="242"/>
      <c r="G48" s="236"/>
    </row>
    <row r="49" spans="1:7" customFormat="1" ht="14.4" x14ac:dyDescent="0.3">
      <c r="A49" s="235"/>
      <c r="B49" s="298">
        <v>11</v>
      </c>
      <c r="C49" s="268" t="s">
        <v>99</v>
      </c>
      <c r="D49" s="269">
        <v>1</v>
      </c>
      <c r="E49" s="259"/>
      <c r="F49" s="242"/>
      <c r="G49" s="236"/>
    </row>
    <row r="50" spans="1:7" customFormat="1" ht="14.4" x14ac:dyDescent="0.3">
      <c r="A50" s="235"/>
      <c r="B50" s="298">
        <v>12</v>
      </c>
      <c r="C50" s="268" t="s">
        <v>100</v>
      </c>
      <c r="D50" s="269">
        <v>1</v>
      </c>
      <c r="E50" s="259"/>
      <c r="F50" s="242"/>
      <c r="G50" s="236"/>
    </row>
    <row r="51" spans="1:7" customFormat="1" ht="14.4" x14ac:dyDescent="0.3">
      <c r="A51" s="235"/>
      <c r="B51" s="298">
        <v>13</v>
      </c>
      <c r="C51" s="268" t="s">
        <v>101</v>
      </c>
      <c r="D51" s="269">
        <v>1</v>
      </c>
      <c r="E51" s="259"/>
      <c r="F51" s="242"/>
      <c r="G51" s="236"/>
    </row>
    <row r="52" spans="1:7" customFormat="1" ht="14.4" x14ac:dyDescent="0.3">
      <c r="A52" s="235"/>
      <c r="B52" s="298">
        <v>14</v>
      </c>
      <c r="C52" s="268" t="s">
        <v>102</v>
      </c>
      <c r="D52" s="269">
        <v>1</v>
      </c>
      <c r="E52" s="259"/>
      <c r="F52" s="242"/>
      <c r="G52" s="236"/>
    </row>
    <row r="53" spans="1:7" customFormat="1" ht="14.4" x14ac:dyDescent="0.3">
      <c r="A53" s="235"/>
      <c r="B53" s="298">
        <v>15</v>
      </c>
      <c r="C53" s="268" t="s">
        <v>103</v>
      </c>
      <c r="D53" s="269">
        <v>1</v>
      </c>
      <c r="E53" s="259"/>
      <c r="F53" s="242"/>
      <c r="G53" s="236"/>
    </row>
    <row r="54" spans="1:7" customFormat="1" ht="14.4" x14ac:dyDescent="0.3">
      <c r="A54" s="235"/>
      <c r="B54" s="298">
        <v>16</v>
      </c>
      <c r="C54" s="268" t="s">
        <v>104</v>
      </c>
      <c r="D54" s="269">
        <v>1</v>
      </c>
      <c r="E54" s="259"/>
      <c r="F54" s="242"/>
      <c r="G54" s="236"/>
    </row>
    <row r="55" spans="1:7" customFormat="1" ht="14.4" x14ac:dyDescent="0.3">
      <c r="A55" s="235"/>
      <c r="B55" s="298">
        <v>17</v>
      </c>
      <c r="C55" s="268" t="s">
        <v>105</v>
      </c>
      <c r="D55" s="269">
        <v>1</v>
      </c>
      <c r="E55" s="259"/>
      <c r="F55" s="242"/>
      <c r="G55" s="236"/>
    </row>
    <row r="56" spans="1:7" customFormat="1" ht="14.4" x14ac:dyDescent="0.3">
      <c r="A56" s="235"/>
      <c r="B56" s="298">
        <v>18</v>
      </c>
      <c r="C56" s="268" t="s">
        <v>106</v>
      </c>
      <c r="D56" s="269">
        <v>1</v>
      </c>
      <c r="E56" s="259"/>
      <c r="F56" s="242"/>
      <c r="G56" s="236"/>
    </row>
    <row r="57" spans="1:7" customFormat="1" ht="14.4" x14ac:dyDescent="0.3">
      <c r="A57" s="235"/>
      <c r="B57" s="298">
        <v>19</v>
      </c>
      <c r="C57" s="268" t="s">
        <v>107</v>
      </c>
      <c r="D57" s="269">
        <v>1</v>
      </c>
      <c r="E57" s="259"/>
      <c r="F57" s="242"/>
      <c r="G57" s="236"/>
    </row>
    <row r="58" spans="1:7" customFormat="1" ht="14.4" x14ac:dyDescent="0.3">
      <c r="A58" s="235"/>
      <c r="B58" s="298">
        <v>20</v>
      </c>
      <c r="C58" s="268" t="s">
        <v>108</v>
      </c>
      <c r="D58" s="269">
        <v>1</v>
      </c>
      <c r="E58" s="259"/>
      <c r="F58" s="242"/>
      <c r="G58" s="236"/>
    </row>
    <row r="59" spans="1:7" customFormat="1" ht="14.4" x14ac:dyDescent="0.3">
      <c r="A59" s="235"/>
      <c r="B59" s="298">
        <v>21</v>
      </c>
      <c r="C59" s="268" t="s">
        <v>109</v>
      </c>
      <c r="D59" s="269">
        <v>1</v>
      </c>
      <c r="E59" s="259"/>
      <c r="F59" s="242"/>
      <c r="G59" s="236"/>
    </row>
    <row r="60" spans="1:7" customFormat="1" ht="14.4" x14ac:dyDescent="0.3">
      <c r="A60" s="235"/>
      <c r="B60" s="298">
        <v>22</v>
      </c>
      <c r="C60" s="268" t="s">
        <v>110</v>
      </c>
      <c r="D60" s="269">
        <v>1</v>
      </c>
      <c r="E60" s="259"/>
      <c r="F60" s="242"/>
      <c r="G60" s="236"/>
    </row>
    <row r="61" spans="1:7" customFormat="1" ht="14.4" x14ac:dyDescent="0.3">
      <c r="A61" s="235"/>
      <c r="B61" s="298">
        <v>23</v>
      </c>
      <c r="C61" s="268" t="s">
        <v>111</v>
      </c>
      <c r="D61" s="269">
        <v>1</v>
      </c>
      <c r="E61" s="259"/>
      <c r="F61" s="242"/>
      <c r="G61" s="236"/>
    </row>
    <row r="62" spans="1:7" customFormat="1" ht="14.4" x14ac:dyDescent="0.3">
      <c r="A62" s="235"/>
      <c r="B62" s="298">
        <v>24</v>
      </c>
      <c r="C62" s="268" t="s">
        <v>112</v>
      </c>
      <c r="D62" s="269">
        <v>1</v>
      </c>
      <c r="E62" s="259"/>
      <c r="F62" s="242"/>
      <c r="G62" s="236"/>
    </row>
    <row r="63" spans="1:7" customFormat="1" ht="14.4" x14ac:dyDescent="0.3">
      <c r="A63" s="235"/>
      <c r="B63" s="298">
        <v>25</v>
      </c>
      <c r="C63" s="268" t="s">
        <v>113</v>
      </c>
      <c r="D63" s="269">
        <v>1</v>
      </c>
      <c r="E63" s="259"/>
      <c r="F63" s="242"/>
      <c r="G63" s="236"/>
    </row>
    <row r="64" spans="1:7" customFormat="1" ht="14.4" x14ac:dyDescent="0.3">
      <c r="A64" s="235"/>
      <c r="B64" s="298">
        <v>26</v>
      </c>
      <c r="C64" s="268" t="s">
        <v>114</v>
      </c>
      <c r="D64" s="269">
        <v>1</v>
      </c>
      <c r="E64" s="259"/>
      <c r="F64" s="242"/>
      <c r="G64" s="236"/>
    </row>
    <row r="65" spans="1:7" customFormat="1" ht="14.4" x14ac:dyDescent="0.3">
      <c r="A65" s="235"/>
      <c r="B65" s="298">
        <v>27</v>
      </c>
      <c r="C65" s="268" t="s">
        <v>115</v>
      </c>
      <c r="D65" s="269">
        <v>1</v>
      </c>
      <c r="E65" s="259"/>
      <c r="F65" s="242"/>
      <c r="G65" s="236"/>
    </row>
    <row r="66" spans="1:7" customFormat="1" ht="14.4" x14ac:dyDescent="0.3">
      <c r="A66" s="235"/>
      <c r="B66" s="298">
        <v>28</v>
      </c>
      <c r="C66" s="268" t="s">
        <v>116</v>
      </c>
      <c r="D66" s="269">
        <v>1</v>
      </c>
      <c r="E66" s="259"/>
      <c r="F66" s="242"/>
      <c r="G66" s="236"/>
    </row>
    <row r="67" spans="1:7" customFormat="1" ht="14.4" x14ac:dyDescent="0.3">
      <c r="A67" s="235"/>
      <c r="B67" s="298">
        <v>29</v>
      </c>
      <c r="C67" s="268" t="s">
        <v>117</v>
      </c>
      <c r="D67" s="269">
        <v>1</v>
      </c>
      <c r="E67" s="259"/>
      <c r="F67" s="242"/>
      <c r="G67" s="236"/>
    </row>
    <row r="68" spans="1:7" customFormat="1" ht="14.4" x14ac:dyDescent="0.3">
      <c r="A68" s="235"/>
      <c r="B68" s="298">
        <v>30</v>
      </c>
      <c r="C68" s="268" t="s">
        <v>118</v>
      </c>
      <c r="D68" s="269">
        <v>1</v>
      </c>
      <c r="E68" s="259"/>
      <c r="F68" s="242"/>
      <c r="G68" s="236"/>
    </row>
    <row r="69" spans="1:7" customFormat="1" ht="14.4" x14ac:dyDescent="0.3">
      <c r="A69" s="235"/>
      <c r="B69" s="298">
        <v>31</v>
      </c>
      <c r="C69" s="268" t="s">
        <v>119</v>
      </c>
      <c r="D69" s="269">
        <v>1</v>
      </c>
      <c r="E69" s="259"/>
      <c r="F69" s="242"/>
      <c r="G69" s="236"/>
    </row>
    <row r="70" spans="1:7" customFormat="1" ht="14.4" x14ac:dyDescent="0.3">
      <c r="A70" s="235"/>
      <c r="B70" s="298">
        <v>32</v>
      </c>
      <c r="C70" s="268" t="s">
        <v>120</v>
      </c>
      <c r="D70" s="269">
        <v>1</v>
      </c>
      <c r="E70" s="259"/>
      <c r="F70" s="242"/>
      <c r="G70" s="236"/>
    </row>
    <row r="71" spans="1:7" customFormat="1" ht="14.4" x14ac:dyDescent="0.3">
      <c r="A71" s="235"/>
      <c r="B71" s="298">
        <v>33</v>
      </c>
      <c r="C71" s="268" t="s">
        <v>121</v>
      </c>
      <c r="D71" s="269">
        <v>1</v>
      </c>
      <c r="E71" s="259"/>
      <c r="F71" s="242"/>
      <c r="G71" s="236"/>
    </row>
    <row r="72" spans="1:7" customFormat="1" ht="14.4" x14ac:dyDescent="0.3">
      <c r="A72" s="235"/>
      <c r="B72" s="298">
        <v>34</v>
      </c>
      <c r="C72" s="268" t="s">
        <v>122</v>
      </c>
      <c r="D72" s="269">
        <v>1</v>
      </c>
      <c r="E72" s="259"/>
      <c r="F72" s="242"/>
      <c r="G72" s="236"/>
    </row>
    <row r="73" spans="1:7" customFormat="1" ht="14.4" x14ac:dyDescent="0.3">
      <c r="A73" s="235"/>
      <c r="B73" s="298">
        <v>35</v>
      </c>
      <c r="C73" s="268" t="s">
        <v>123</v>
      </c>
      <c r="D73" s="269">
        <v>1</v>
      </c>
      <c r="E73" s="259"/>
      <c r="F73" s="242"/>
      <c r="G73" s="236"/>
    </row>
    <row r="74" spans="1:7" customFormat="1" ht="14.4" x14ac:dyDescent="0.3">
      <c r="A74" s="235"/>
      <c r="B74" s="298">
        <v>36</v>
      </c>
      <c r="C74" s="268" t="s">
        <v>124</v>
      </c>
      <c r="D74" s="269">
        <v>1</v>
      </c>
      <c r="E74" s="259"/>
      <c r="F74" s="242"/>
      <c r="G74" s="236"/>
    </row>
    <row r="75" spans="1:7" customFormat="1" ht="14.4" x14ac:dyDescent="0.3">
      <c r="A75" s="235"/>
      <c r="B75" s="298">
        <v>37</v>
      </c>
      <c r="C75" s="268" t="s">
        <v>125</v>
      </c>
      <c r="D75" s="269">
        <v>1</v>
      </c>
      <c r="E75" s="259"/>
      <c r="F75" s="242"/>
      <c r="G75" s="236"/>
    </row>
    <row r="76" spans="1:7" customFormat="1" ht="14.4" x14ac:dyDescent="0.3">
      <c r="A76" s="235"/>
      <c r="B76" s="298">
        <v>38</v>
      </c>
      <c r="C76" s="268" t="s">
        <v>126</v>
      </c>
      <c r="D76" s="269">
        <v>1</v>
      </c>
      <c r="E76" s="259"/>
      <c r="F76" s="242"/>
      <c r="G76" s="236"/>
    </row>
    <row r="77" spans="1:7" customFormat="1" ht="14.4" x14ac:dyDescent="0.3">
      <c r="A77" s="235"/>
      <c r="B77" s="298">
        <v>39</v>
      </c>
      <c r="C77" s="268" t="s">
        <v>127</v>
      </c>
      <c r="D77" s="269">
        <v>1</v>
      </c>
      <c r="E77" s="259"/>
      <c r="F77" s="242"/>
      <c r="G77" s="236"/>
    </row>
    <row r="78" spans="1:7" customFormat="1" ht="14.4" x14ac:dyDescent="0.3">
      <c r="A78" s="235"/>
      <c r="B78" s="298">
        <v>40</v>
      </c>
      <c r="C78" s="268" t="s">
        <v>128</v>
      </c>
      <c r="D78" s="269">
        <v>1</v>
      </c>
      <c r="E78" s="259"/>
      <c r="F78" s="242"/>
      <c r="G78" s="236"/>
    </row>
    <row r="79" spans="1:7" customFormat="1" ht="14.4" x14ac:dyDescent="0.3">
      <c r="A79" s="235"/>
      <c r="B79" s="298">
        <v>41</v>
      </c>
      <c r="C79" s="268" t="s">
        <v>129</v>
      </c>
      <c r="D79" s="269">
        <v>1</v>
      </c>
      <c r="E79" s="259"/>
      <c r="F79" s="242"/>
      <c r="G79" s="236"/>
    </row>
    <row r="80" spans="1:7" customFormat="1" ht="14.4" x14ac:dyDescent="0.3">
      <c r="A80" s="235"/>
      <c r="B80" s="298">
        <v>42</v>
      </c>
      <c r="C80" s="268" t="s">
        <v>130</v>
      </c>
      <c r="D80" s="269">
        <v>1</v>
      </c>
      <c r="E80" s="259"/>
      <c r="F80" s="242"/>
      <c r="G80" s="236"/>
    </row>
    <row r="81" spans="1:7" customFormat="1" ht="14.4" x14ac:dyDescent="0.3">
      <c r="A81" s="235"/>
      <c r="B81" s="298">
        <v>43</v>
      </c>
      <c r="C81" s="268" t="s">
        <v>131</v>
      </c>
      <c r="D81" s="269">
        <v>1</v>
      </c>
      <c r="E81" s="259"/>
      <c r="F81" s="242"/>
      <c r="G81" s="236"/>
    </row>
    <row r="82" spans="1:7" customFormat="1" ht="14.4" x14ac:dyDescent="0.3">
      <c r="A82" s="235"/>
      <c r="B82" s="298">
        <v>44</v>
      </c>
      <c r="C82" s="268" t="s">
        <v>132</v>
      </c>
      <c r="D82" s="269">
        <v>1</v>
      </c>
      <c r="E82" s="259"/>
      <c r="F82" s="242"/>
      <c r="G82" s="236"/>
    </row>
    <row r="83" spans="1:7" customFormat="1" ht="14.4" x14ac:dyDescent="0.3">
      <c r="A83" s="235"/>
      <c r="B83" s="298">
        <v>45</v>
      </c>
      <c r="C83" s="268" t="s">
        <v>133</v>
      </c>
      <c r="D83" s="269">
        <v>1</v>
      </c>
      <c r="E83" s="259"/>
      <c r="F83" s="242"/>
      <c r="G83" s="236"/>
    </row>
    <row r="84" spans="1:7" customFormat="1" ht="14.4" x14ac:dyDescent="0.3">
      <c r="A84" s="235"/>
      <c r="B84" s="298">
        <v>46</v>
      </c>
      <c r="C84" s="268" t="s">
        <v>134</v>
      </c>
      <c r="D84" s="269">
        <v>1</v>
      </c>
      <c r="E84" s="259"/>
      <c r="F84" s="242"/>
      <c r="G84" s="236"/>
    </row>
    <row r="85" spans="1:7" customFormat="1" ht="14.4" x14ac:dyDescent="0.3">
      <c r="A85" s="235"/>
      <c r="B85" s="298">
        <v>47</v>
      </c>
      <c r="C85" s="268" t="s">
        <v>135</v>
      </c>
      <c r="D85" s="269">
        <v>1</v>
      </c>
      <c r="E85" s="259"/>
      <c r="F85" s="242"/>
      <c r="G85" s="236"/>
    </row>
    <row r="86" spans="1:7" customFormat="1" ht="14.4" x14ac:dyDescent="0.3">
      <c r="A86" s="235"/>
      <c r="B86" s="298">
        <v>48</v>
      </c>
      <c r="C86" s="268" t="s">
        <v>136</v>
      </c>
      <c r="D86" s="269">
        <v>1</v>
      </c>
      <c r="E86" s="259"/>
      <c r="F86" s="242"/>
      <c r="G86" s="236"/>
    </row>
    <row r="87" spans="1:7" customFormat="1" ht="14.4" x14ac:dyDescent="0.3">
      <c r="A87" s="235"/>
      <c r="B87" s="298">
        <v>49</v>
      </c>
      <c r="C87" s="268" t="s">
        <v>137</v>
      </c>
      <c r="D87" s="269">
        <v>1</v>
      </c>
      <c r="E87" s="259"/>
      <c r="F87" s="242"/>
      <c r="G87" s="236"/>
    </row>
    <row r="88" spans="1:7" customFormat="1" ht="14.4" x14ac:dyDescent="0.3">
      <c r="A88" s="235"/>
      <c r="B88" s="298">
        <v>50</v>
      </c>
      <c r="C88" s="268" t="s">
        <v>138</v>
      </c>
      <c r="D88" s="269">
        <v>1</v>
      </c>
      <c r="E88" s="259"/>
      <c r="F88" s="242"/>
      <c r="G88" s="236"/>
    </row>
    <row r="89" spans="1:7" customFormat="1" ht="14.4" x14ac:dyDescent="0.3">
      <c r="A89" s="235"/>
      <c r="B89" s="298">
        <v>51</v>
      </c>
      <c r="C89" s="268" t="s">
        <v>139</v>
      </c>
      <c r="D89" s="269">
        <v>1</v>
      </c>
      <c r="E89" s="259"/>
      <c r="F89" s="242"/>
      <c r="G89" s="236"/>
    </row>
    <row r="90" spans="1:7" customFormat="1" ht="14.4" x14ac:dyDescent="0.3">
      <c r="A90" s="235"/>
      <c r="B90" s="298">
        <v>52</v>
      </c>
      <c r="C90" s="268" t="s">
        <v>140</v>
      </c>
      <c r="D90" s="269">
        <v>1</v>
      </c>
      <c r="E90" s="259"/>
      <c r="F90" s="242"/>
      <c r="G90" s="236"/>
    </row>
    <row r="91" spans="1:7" customFormat="1" ht="14.4" x14ac:dyDescent="0.3">
      <c r="A91" s="235"/>
      <c r="B91" s="298">
        <v>53</v>
      </c>
      <c r="C91" s="268" t="s">
        <v>141</v>
      </c>
      <c r="D91" s="269">
        <v>1</v>
      </c>
      <c r="E91" s="259"/>
      <c r="F91" s="242"/>
      <c r="G91" s="236"/>
    </row>
    <row r="92" spans="1:7" customFormat="1" ht="14.4" x14ac:dyDescent="0.3">
      <c r="A92" s="235"/>
      <c r="B92" s="298">
        <v>54</v>
      </c>
      <c r="C92" s="268" t="s">
        <v>142</v>
      </c>
      <c r="D92" s="269">
        <v>1</v>
      </c>
      <c r="E92" s="259"/>
      <c r="F92" s="242"/>
      <c r="G92" s="236"/>
    </row>
    <row r="93" spans="1:7" customFormat="1" ht="14.4" x14ac:dyDescent="0.3">
      <c r="A93" s="235"/>
      <c r="B93" s="298">
        <v>55</v>
      </c>
      <c r="C93" s="268" t="s">
        <v>143</v>
      </c>
      <c r="D93" s="269">
        <v>1</v>
      </c>
      <c r="E93" s="259"/>
      <c r="F93" s="242"/>
      <c r="G93" s="236"/>
    </row>
    <row r="94" spans="1:7" customFormat="1" ht="14.4" x14ac:dyDescent="0.3">
      <c r="A94" s="235"/>
      <c r="B94" s="298">
        <v>56</v>
      </c>
      <c r="C94" s="268" t="s">
        <v>144</v>
      </c>
      <c r="D94" s="269">
        <v>1</v>
      </c>
      <c r="E94" s="259"/>
      <c r="F94" s="242"/>
      <c r="G94" s="236"/>
    </row>
    <row r="95" spans="1:7" customFormat="1" ht="14.4" x14ac:dyDescent="0.3">
      <c r="A95" s="235"/>
      <c r="B95" s="298">
        <v>57</v>
      </c>
      <c r="C95" s="268" t="s">
        <v>145</v>
      </c>
      <c r="D95" s="269">
        <v>1</v>
      </c>
      <c r="E95" s="259"/>
      <c r="F95" s="242"/>
      <c r="G95" s="236"/>
    </row>
    <row r="96" spans="1:7" customFormat="1" ht="14.4" x14ac:dyDescent="0.3">
      <c r="A96" s="235"/>
      <c r="B96" s="298">
        <v>58</v>
      </c>
      <c r="C96" s="268" t="s">
        <v>146</v>
      </c>
      <c r="D96" s="269">
        <v>1</v>
      </c>
      <c r="E96" s="259"/>
      <c r="F96" s="242"/>
      <c r="G96" s="236"/>
    </row>
    <row r="97" spans="1:7" customFormat="1" ht="14.4" x14ac:dyDescent="0.3">
      <c r="A97" s="235"/>
      <c r="B97" s="298">
        <v>59</v>
      </c>
      <c r="C97" s="268" t="s">
        <v>147</v>
      </c>
      <c r="D97" s="269">
        <v>1</v>
      </c>
      <c r="E97" s="259"/>
      <c r="F97" s="242"/>
      <c r="G97" s="236"/>
    </row>
    <row r="98" spans="1:7" customFormat="1" ht="14.4" x14ac:dyDescent="0.3">
      <c r="A98" s="235"/>
      <c r="B98" s="298">
        <v>60</v>
      </c>
      <c r="C98" s="268" t="s">
        <v>148</v>
      </c>
      <c r="D98" s="269">
        <v>1</v>
      </c>
      <c r="E98" s="259"/>
      <c r="F98" s="242"/>
      <c r="G98" s="236"/>
    </row>
    <row r="99" spans="1:7" customFormat="1" ht="14.4" x14ac:dyDescent="0.3">
      <c r="A99" s="235"/>
      <c r="B99" s="298">
        <v>61</v>
      </c>
      <c r="C99" s="268" t="s">
        <v>149</v>
      </c>
      <c r="D99" s="269">
        <v>1</v>
      </c>
      <c r="E99" s="259"/>
      <c r="F99" s="242"/>
      <c r="G99" s="236"/>
    </row>
    <row r="100" spans="1:7" customFormat="1" ht="14.4" x14ac:dyDescent="0.3">
      <c r="A100" s="235"/>
      <c r="B100" s="298">
        <v>62</v>
      </c>
      <c r="C100" s="268" t="s">
        <v>150</v>
      </c>
      <c r="D100" s="269">
        <v>1</v>
      </c>
      <c r="E100" s="259"/>
      <c r="F100" s="242"/>
      <c r="G100" s="236"/>
    </row>
    <row r="101" spans="1:7" customFormat="1" ht="14.4" x14ac:dyDescent="0.3">
      <c r="A101" s="235"/>
      <c r="B101" s="298">
        <v>63</v>
      </c>
      <c r="C101" s="268" t="s">
        <v>151</v>
      </c>
      <c r="D101" s="269">
        <v>1</v>
      </c>
      <c r="E101" s="259"/>
      <c r="F101" s="242"/>
      <c r="G101" s="236"/>
    </row>
    <row r="102" spans="1:7" customFormat="1" ht="14.4" x14ac:dyDescent="0.3">
      <c r="A102" s="235"/>
      <c r="B102" s="298">
        <v>64</v>
      </c>
      <c r="C102" s="268" t="s">
        <v>152</v>
      </c>
      <c r="D102" s="269">
        <v>1</v>
      </c>
      <c r="E102" s="259"/>
      <c r="F102" s="242"/>
      <c r="G102" s="236"/>
    </row>
    <row r="103" spans="1:7" customFormat="1" ht="14.4" x14ac:dyDescent="0.3">
      <c r="A103" s="235"/>
      <c r="B103" s="298">
        <v>65</v>
      </c>
      <c r="C103" s="268" t="s">
        <v>153</v>
      </c>
      <c r="D103" s="269">
        <v>1</v>
      </c>
      <c r="E103" s="259"/>
      <c r="F103" s="242"/>
      <c r="G103" s="236"/>
    </row>
    <row r="104" spans="1:7" customFormat="1" ht="14.4" x14ac:dyDescent="0.3">
      <c r="A104" s="235"/>
      <c r="B104" s="298">
        <v>66</v>
      </c>
      <c r="C104" s="268" t="s">
        <v>154</v>
      </c>
      <c r="D104" s="269">
        <v>1</v>
      </c>
      <c r="E104" s="259"/>
      <c r="F104" s="242"/>
      <c r="G104" s="236"/>
    </row>
    <row r="105" spans="1:7" customFormat="1" ht="14.4" x14ac:dyDescent="0.3">
      <c r="A105" s="235"/>
      <c r="B105" s="298">
        <v>67</v>
      </c>
      <c r="C105" s="268" t="s">
        <v>155</v>
      </c>
      <c r="D105" s="269">
        <v>1</v>
      </c>
      <c r="E105" s="259"/>
      <c r="F105" s="242"/>
      <c r="G105" s="236"/>
    </row>
    <row r="106" spans="1:7" customFormat="1" ht="14.4" x14ac:dyDescent="0.3">
      <c r="A106" s="235"/>
      <c r="B106" s="298">
        <v>68</v>
      </c>
      <c r="C106" s="268" t="s">
        <v>156</v>
      </c>
      <c r="D106" s="269">
        <v>1</v>
      </c>
      <c r="E106" s="259"/>
      <c r="F106" s="242"/>
      <c r="G106" s="236"/>
    </row>
    <row r="107" spans="1:7" customFormat="1" ht="14.4" x14ac:dyDescent="0.3">
      <c r="A107" s="235"/>
      <c r="B107" s="298">
        <v>69</v>
      </c>
      <c r="C107" s="268" t="s">
        <v>157</v>
      </c>
      <c r="D107" s="269">
        <v>1</v>
      </c>
      <c r="E107" s="259"/>
      <c r="F107" s="242"/>
      <c r="G107" s="236"/>
    </row>
    <row r="108" spans="1:7" customFormat="1" ht="14.4" x14ac:dyDescent="0.3">
      <c r="A108" s="235"/>
      <c r="B108" s="298">
        <v>70</v>
      </c>
      <c r="C108" s="268" t="s">
        <v>158</v>
      </c>
      <c r="D108" s="269">
        <v>1</v>
      </c>
      <c r="E108" s="259"/>
      <c r="F108" s="242"/>
      <c r="G108" s="236"/>
    </row>
    <row r="109" spans="1:7" customFormat="1" ht="14.4" x14ac:dyDescent="0.3">
      <c r="A109" s="235"/>
      <c r="B109" s="298">
        <v>71</v>
      </c>
      <c r="C109" s="268" t="s">
        <v>159</v>
      </c>
      <c r="D109" s="269">
        <v>1</v>
      </c>
      <c r="E109" s="259"/>
      <c r="F109" s="242"/>
      <c r="G109" s="236"/>
    </row>
    <row r="110" spans="1:7" customFormat="1" ht="14.4" x14ac:dyDescent="0.3">
      <c r="A110" s="235"/>
      <c r="B110" s="298">
        <v>72</v>
      </c>
      <c r="C110" s="268" t="s">
        <v>160</v>
      </c>
      <c r="D110" s="269">
        <v>1</v>
      </c>
      <c r="E110" s="259"/>
      <c r="F110" s="242"/>
      <c r="G110" s="236"/>
    </row>
    <row r="111" spans="1:7" customFormat="1" ht="14.4" x14ac:dyDescent="0.3">
      <c r="A111" s="235"/>
      <c r="B111" s="298">
        <v>73</v>
      </c>
      <c r="C111" s="268" t="s">
        <v>161</v>
      </c>
      <c r="D111" s="269">
        <v>1</v>
      </c>
      <c r="E111" s="259"/>
      <c r="F111" s="242"/>
      <c r="G111" s="236"/>
    </row>
    <row r="112" spans="1:7" customFormat="1" ht="14.4" x14ac:dyDescent="0.3">
      <c r="A112" s="235"/>
      <c r="B112" s="298">
        <v>74</v>
      </c>
      <c r="C112" s="268" t="s">
        <v>162</v>
      </c>
      <c r="D112" s="269">
        <v>1</v>
      </c>
      <c r="E112" s="259"/>
      <c r="F112" s="242"/>
      <c r="G112" s="236"/>
    </row>
    <row r="113" spans="1:7" customFormat="1" ht="14.4" x14ac:dyDescent="0.3">
      <c r="A113" s="235"/>
      <c r="B113" s="298">
        <v>75</v>
      </c>
      <c r="C113" s="268" t="s">
        <v>163</v>
      </c>
      <c r="D113" s="269">
        <v>1</v>
      </c>
      <c r="E113" s="259"/>
      <c r="F113" s="242"/>
      <c r="G113" s="236"/>
    </row>
    <row r="114" spans="1:7" customFormat="1" ht="14.4" x14ac:dyDescent="0.3">
      <c r="A114" s="235"/>
      <c r="B114" s="298">
        <v>76</v>
      </c>
      <c r="C114" s="268" t="s">
        <v>164</v>
      </c>
      <c r="D114" s="269">
        <v>1</v>
      </c>
      <c r="E114" s="259"/>
      <c r="F114" s="242"/>
      <c r="G114" s="236"/>
    </row>
    <row r="115" spans="1:7" customFormat="1" ht="14.4" x14ac:dyDescent="0.3">
      <c r="A115" s="235"/>
      <c r="B115" s="298">
        <v>77</v>
      </c>
      <c r="C115" s="268" t="s">
        <v>165</v>
      </c>
      <c r="D115" s="269">
        <v>1</v>
      </c>
      <c r="E115" s="259"/>
      <c r="F115" s="242"/>
      <c r="G115" s="236"/>
    </row>
    <row r="116" spans="1:7" customFormat="1" ht="14.4" x14ac:dyDescent="0.3">
      <c r="A116" s="235"/>
      <c r="B116" s="298">
        <v>78</v>
      </c>
      <c r="C116" s="268" t="s">
        <v>166</v>
      </c>
      <c r="D116" s="269">
        <v>1</v>
      </c>
      <c r="E116" s="259"/>
      <c r="F116" s="242"/>
      <c r="G116" s="236"/>
    </row>
    <row r="117" spans="1:7" customFormat="1" ht="14.4" x14ac:dyDescent="0.3">
      <c r="A117" s="235"/>
      <c r="B117" s="298">
        <v>79</v>
      </c>
      <c r="C117" s="268" t="s">
        <v>167</v>
      </c>
      <c r="D117" s="269">
        <v>1</v>
      </c>
      <c r="E117" s="259"/>
      <c r="F117" s="242"/>
      <c r="G117" s="236"/>
    </row>
    <row r="118" spans="1:7" customFormat="1" ht="14.4" x14ac:dyDescent="0.3">
      <c r="A118" s="235"/>
      <c r="B118" s="298">
        <v>80</v>
      </c>
      <c r="C118" s="268" t="s">
        <v>168</v>
      </c>
      <c r="D118" s="269">
        <v>1</v>
      </c>
      <c r="E118" s="259"/>
      <c r="F118" s="242"/>
      <c r="G118" s="236"/>
    </row>
    <row r="119" spans="1:7" customFormat="1" ht="14.4" x14ac:dyDescent="0.3">
      <c r="A119" s="235"/>
      <c r="B119" s="298">
        <v>81</v>
      </c>
      <c r="C119" s="268" t="s">
        <v>169</v>
      </c>
      <c r="D119" s="269">
        <v>1</v>
      </c>
      <c r="E119" s="259"/>
      <c r="F119" s="242"/>
      <c r="G119" s="236"/>
    </row>
    <row r="120" spans="1:7" customFormat="1" ht="14.4" x14ac:dyDescent="0.3">
      <c r="A120" s="235"/>
      <c r="B120" s="298">
        <v>82</v>
      </c>
      <c r="C120" s="268" t="s">
        <v>170</v>
      </c>
      <c r="D120" s="269">
        <v>1</v>
      </c>
      <c r="E120" s="259"/>
      <c r="F120" s="242"/>
      <c r="G120" s="236"/>
    </row>
    <row r="121" spans="1:7" customFormat="1" ht="14.4" x14ac:dyDescent="0.3">
      <c r="A121" s="235"/>
      <c r="B121" s="298">
        <v>83</v>
      </c>
      <c r="C121" s="268" t="s">
        <v>171</v>
      </c>
      <c r="D121" s="269">
        <v>1</v>
      </c>
      <c r="E121" s="259"/>
      <c r="F121" s="242"/>
      <c r="G121" s="236"/>
    </row>
    <row r="122" spans="1:7" customFormat="1" ht="14.4" x14ac:dyDescent="0.3">
      <c r="A122" s="235"/>
      <c r="B122" s="298">
        <v>84</v>
      </c>
      <c r="C122" s="268" t="s">
        <v>172</v>
      </c>
      <c r="D122" s="269">
        <v>1</v>
      </c>
      <c r="E122" s="259"/>
      <c r="F122" s="242"/>
      <c r="G122" s="236"/>
    </row>
    <row r="123" spans="1:7" customFormat="1" ht="14.4" x14ac:dyDescent="0.3">
      <c r="A123" s="235"/>
      <c r="B123" s="298">
        <v>85</v>
      </c>
      <c r="C123" s="268" t="s">
        <v>173</v>
      </c>
      <c r="D123" s="269">
        <v>1</v>
      </c>
      <c r="E123" s="259"/>
      <c r="F123" s="242"/>
      <c r="G123" s="236"/>
    </row>
    <row r="124" spans="1:7" customFormat="1" ht="14.4" x14ac:dyDescent="0.3">
      <c r="A124" s="235"/>
      <c r="B124" s="298">
        <v>86</v>
      </c>
      <c r="C124" s="268" t="s">
        <v>174</v>
      </c>
      <c r="D124" s="269">
        <v>1</v>
      </c>
      <c r="E124" s="259"/>
      <c r="F124" s="242"/>
      <c r="G124" s="236"/>
    </row>
    <row r="125" spans="1:7" customFormat="1" ht="14.4" x14ac:dyDescent="0.3">
      <c r="A125" s="235"/>
      <c r="B125" s="298">
        <v>87</v>
      </c>
      <c r="C125" s="268" t="s">
        <v>175</v>
      </c>
      <c r="D125" s="269">
        <v>1</v>
      </c>
      <c r="E125" s="259"/>
      <c r="F125" s="242"/>
      <c r="G125" s="236"/>
    </row>
    <row r="126" spans="1:7" customFormat="1" ht="14.4" x14ac:dyDescent="0.3">
      <c r="A126" s="235"/>
      <c r="B126" s="298">
        <v>88</v>
      </c>
      <c r="C126" s="268" t="s">
        <v>176</v>
      </c>
      <c r="D126" s="269">
        <v>1</v>
      </c>
      <c r="E126" s="259"/>
      <c r="F126" s="242"/>
      <c r="G126" s="236"/>
    </row>
    <row r="127" spans="1:7" customFormat="1" ht="14.4" x14ac:dyDescent="0.3">
      <c r="A127" s="235"/>
      <c r="B127" s="298">
        <v>89</v>
      </c>
      <c r="C127" s="268" t="s">
        <v>177</v>
      </c>
      <c r="D127" s="269">
        <v>1</v>
      </c>
      <c r="E127" s="259"/>
      <c r="F127" s="242"/>
      <c r="G127" s="236"/>
    </row>
    <row r="128" spans="1:7" customFormat="1" ht="14.4" x14ac:dyDescent="0.3">
      <c r="A128" s="235"/>
      <c r="B128" s="298">
        <v>90</v>
      </c>
      <c r="C128" s="268" t="s">
        <v>178</v>
      </c>
      <c r="D128" s="269">
        <v>1</v>
      </c>
      <c r="E128" s="259"/>
      <c r="F128" s="242"/>
      <c r="G128" s="236"/>
    </row>
    <row r="129" spans="1:7" customFormat="1" ht="14.4" x14ac:dyDescent="0.3">
      <c r="A129" s="235"/>
      <c r="B129" s="298">
        <v>91</v>
      </c>
      <c r="C129" s="268" t="s">
        <v>179</v>
      </c>
      <c r="D129" s="269">
        <v>1</v>
      </c>
      <c r="E129" s="259"/>
      <c r="F129" s="242"/>
      <c r="G129" s="236"/>
    </row>
    <row r="130" spans="1:7" customFormat="1" ht="14.4" x14ac:dyDescent="0.3">
      <c r="A130" s="235"/>
      <c r="B130" s="298">
        <v>92</v>
      </c>
      <c r="C130" s="268" t="s">
        <v>180</v>
      </c>
      <c r="D130" s="269">
        <v>1</v>
      </c>
      <c r="E130" s="259"/>
      <c r="F130" s="242"/>
      <c r="G130" s="236"/>
    </row>
    <row r="131" spans="1:7" customFormat="1" ht="14.4" x14ac:dyDescent="0.3">
      <c r="A131" s="235"/>
      <c r="B131" s="298">
        <v>93</v>
      </c>
      <c r="C131" s="268" t="s">
        <v>181</v>
      </c>
      <c r="D131" s="269">
        <v>1</v>
      </c>
      <c r="E131" s="259"/>
      <c r="F131" s="242"/>
      <c r="G131" s="236"/>
    </row>
    <row r="132" spans="1:7" customFormat="1" ht="14.4" x14ac:dyDescent="0.3">
      <c r="A132" s="235"/>
      <c r="B132" s="298">
        <v>94</v>
      </c>
      <c r="C132" s="268" t="s">
        <v>182</v>
      </c>
      <c r="D132" s="269">
        <v>1</v>
      </c>
      <c r="E132" s="259"/>
      <c r="F132" s="242"/>
      <c r="G132" s="236"/>
    </row>
    <row r="133" spans="1:7" customFormat="1" ht="14.4" x14ac:dyDescent="0.3">
      <c r="A133" s="235"/>
      <c r="B133" s="298">
        <v>95</v>
      </c>
      <c r="C133" s="268" t="s">
        <v>183</v>
      </c>
      <c r="D133" s="269">
        <v>1</v>
      </c>
      <c r="E133" s="259"/>
      <c r="F133" s="242"/>
      <c r="G133" s="236"/>
    </row>
    <row r="134" spans="1:7" customFormat="1" ht="14.4" x14ac:dyDescent="0.3">
      <c r="A134" s="235"/>
      <c r="B134" s="298">
        <v>96</v>
      </c>
      <c r="C134" s="268" t="s">
        <v>184</v>
      </c>
      <c r="D134" s="269">
        <v>1</v>
      </c>
      <c r="E134" s="259"/>
      <c r="F134" s="242"/>
      <c r="G134" s="236"/>
    </row>
    <row r="135" spans="1:7" customFormat="1" ht="14.4" x14ac:dyDescent="0.3">
      <c r="A135" s="235"/>
      <c r="B135" s="298">
        <v>97</v>
      </c>
      <c r="C135" s="268" t="s">
        <v>185</v>
      </c>
      <c r="D135" s="269">
        <v>1</v>
      </c>
      <c r="E135" s="259"/>
      <c r="F135" s="242"/>
      <c r="G135" s="236"/>
    </row>
    <row r="136" spans="1:7" customFormat="1" ht="14.4" x14ac:dyDescent="0.3">
      <c r="A136" s="235"/>
      <c r="B136" s="298">
        <v>98</v>
      </c>
      <c r="C136" s="268" t="s">
        <v>186</v>
      </c>
      <c r="D136" s="269">
        <v>1</v>
      </c>
      <c r="E136" s="259"/>
      <c r="F136" s="242"/>
      <c r="G136" s="236"/>
    </row>
    <row r="137" spans="1:7" customFormat="1" ht="14.4" x14ac:dyDescent="0.3">
      <c r="A137" s="235"/>
      <c r="B137" s="298">
        <v>99</v>
      </c>
      <c r="C137" s="268" t="s">
        <v>187</v>
      </c>
      <c r="D137" s="269">
        <v>1</v>
      </c>
      <c r="E137" s="259"/>
      <c r="F137" s="242"/>
      <c r="G137" s="236"/>
    </row>
    <row r="138" spans="1:7" customFormat="1" ht="14.4" x14ac:dyDescent="0.3">
      <c r="A138" s="235"/>
      <c r="B138" s="298">
        <v>100</v>
      </c>
      <c r="C138" s="268" t="s">
        <v>188</v>
      </c>
      <c r="D138" s="269">
        <v>1</v>
      </c>
      <c r="E138" s="259"/>
      <c r="F138" s="242"/>
      <c r="G138" s="236"/>
    </row>
    <row r="139" spans="1:7" customFormat="1" ht="14.4" x14ac:dyDescent="0.3">
      <c r="A139" s="235"/>
    </row>
    <row r="140" spans="1:7" customFormat="1" ht="14.4" x14ac:dyDescent="0.3">
      <c r="A140" s="235"/>
    </row>
    <row r="141" spans="1:7" customFormat="1" ht="14.4" x14ac:dyDescent="0.3">
      <c r="A141" s="235"/>
    </row>
    <row r="142" spans="1:7" customFormat="1" ht="14.4" x14ac:dyDescent="0.3">
      <c r="A142" s="235"/>
    </row>
    <row r="143" spans="1:7" customFormat="1" ht="14.4" x14ac:dyDescent="0.3">
      <c r="A143" s="235"/>
    </row>
    <row r="144" spans="1:7" customFormat="1" ht="14.4" x14ac:dyDescent="0.3">
      <c r="A144" s="235"/>
    </row>
    <row r="145" spans="1:1" customFormat="1" ht="14.4" x14ac:dyDescent="0.3">
      <c r="A145" s="235"/>
    </row>
    <row r="146" spans="1:1" customFormat="1" ht="14.4" x14ac:dyDescent="0.3">
      <c r="A146" s="235"/>
    </row>
    <row r="147" spans="1:1" customFormat="1" ht="14.4" x14ac:dyDescent="0.3">
      <c r="A147" s="235"/>
    </row>
    <row r="148" spans="1:1" customFormat="1" ht="14.4" x14ac:dyDescent="0.3">
      <c r="A148" s="235"/>
    </row>
    <row r="149" spans="1:1" customFormat="1" ht="14.4" x14ac:dyDescent="0.3">
      <c r="A149" s="235"/>
    </row>
    <row r="150" spans="1:1" customFormat="1" ht="14.4" x14ac:dyDescent="0.3">
      <c r="A150" s="235"/>
    </row>
    <row r="151" spans="1:1" customFormat="1" ht="14.4" x14ac:dyDescent="0.3">
      <c r="A151" s="235"/>
    </row>
    <row r="152" spans="1:1" customFormat="1" ht="14.4" x14ac:dyDescent="0.3">
      <c r="A152" s="235"/>
    </row>
    <row r="153" spans="1:1" customFormat="1" ht="14.4" x14ac:dyDescent="0.3">
      <c r="A153" s="235"/>
    </row>
    <row r="154" spans="1:1" customFormat="1" ht="14.4" x14ac:dyDescent="0.3">
      <c r="A154" s="235"/>
    </row>
    <row r="155" spans="1:1" customFormat="1" ht="14.4" x14ac:dyDescent="0.3">
      <c r="A155" s="235"/>
    </row>
    <row r="156" spans="1:1" customFormat="1" ht="14.4" x14ac:dyDescent="0.3">
      <c r="A156" s="235"/>
    </row>
    <row r="157" spans="1:1" customFormat="1" ht="14.4" x14ac:dyDescent="0.3">
      <c r="A157" s="235"/>
    </row>
    <row r="158" spans="1:1" customFormat="1" ht="14.4" x14ac:dyDescent="0.3">
      <c r="A158" s="235"/>
    </row>
    <row r="159" spans="1:1" customFormat="1" ht="14.4" x14ac:dyDescent="0.3">
      <c r="A159" s="235"/>
    </row>
    <row r="160" spans="1:1" customFormat="1" ht="14.4" x14ac:dyDescent="0.3">
      <c r="A160" s="235"/>
    </row>
    <row r="161" spans="1:1" customFormat="1" ht="14.4" x14ac:dyDescent="0.3">
      <c r="A161" s="235"/>
    </row>
    <row r="162" spans="1:1" customFormat="1" ht="14.4" x14ac:dyDescent="0.3">
      <c r="A162" s="235"/>
    </row>
    <row r="163" spans="1:1" customFormat="1" ht="14.4" x14ac:dyDescent="0.3">
      <c r="A163" s="235"/>
    </row>
    <row r="164" spans="1:1" customFormat="1" ht="14.4" x14ac:dyDescent="0.3">
      <c r="A164" s="235"/>
    </row>
    <row r="165" spans="1:1" customFormat="1" ht="14.4" x14ac:dyDescent="0.3">
      <c r="A165" s="235"/>
    </row>
    <row r="166" spans="1:1" customFormat="1" ht="14.4" x14ac:dyDescent="0.3">
      <c r="A166" s="235"/>
    </row>
    <row r="167" spans="1:1" customFormat="1" ht="14.4" x14ac:dyDescent="0.3">
      <c r="A167" s="235"/>
    </row>
    <row r="168" spans="1:1" customFormat="1" ht="14.4" x14ac:dyDescent="0.3">
      <c r="A168" s="235"/>
    </row>
    <row r="169" spans="1:1" customFormat="1" ht="14.4" x14ac:dyDescent="0.3">
      <c r="A169" s="235"/>
    </row>
    <row r="170" spans="1:1" customFormat="1" ht="14.4" x14ac:dyDescent="0.3">
      <c r="A170" s="235"/>
    </row>
    <row r="171" spans="1:1" customFormat="1" ht="14.4" x14ac:dyDescent="0.3">
      <c r="A171" s="235"/>
    </row>
    <row r="172" spans="1:1" customFormat="1" ht="14.4" x14ac:dyDescent="0.3">
      <c r="A172" s="235"/>
    </row>
    <row r="173" spans="1:1" customFormat="1" ht="14.4" x14ac:dyDescent="0.3">
      <c r="A173" s="235"/>
    </row>
    <row r="174" spans="1:1" customFormat="1" ht="14.4" x14ac:dyDescent="0.3">
      <c r="A174" s="235"/>
    </row>
    <row r="175" spans="1:1" customFormat="1" ht="14.4" x14ac:dyDescent="0.3">
      <c r="A175" s="235"/>
    </row>
    <row r="176" spans="1:1" customFormat="1" ht="14.4" x14ac:dyDescent="0.3">
      <c r="A176" s="235"/>
    </row>
    <row r="177" spans="1:1" customFormat="1" ht="14.4" x14ac:dyDescent="0.3">
      <c r="A177" s="235"/>
    </row>
    <row r="178" spans="1:1" customFormat="1" ht="14.4" x14ac:dyDescent="0.3">
      <c r="A178" s="235"/>
    </row>
    <row r="179" spans="1:1" customFormat="1" ht="14.4" x14ac:dyDescent="0.3">
      <c r="A179" s="235"/>
    </row>
    <row r="180" spans="1:1" customFormat="1" ht="14.4" x14ac:dyDescent="0.3">
      <c r="A180" s="235"/>
    </row>
    <row r="181" spans="1:1" customFormat="1" ht="14.4" x14ac:dyDescent="0.3">
      <c r="A181" s="235"/>
    </row>
    <row r="182" spans="1:1" customFormat="1" ht="14.4" x14ac:dyDescent="0.3">
      <c r="A182" s="235"/>
    </row>
    <row r="183" spans="1:1" customFormat="1" ht="14.4" x14ac:dyDescent="0.3">
      <c r="A183" s="235"/>
    </row>
    <row r="184" spans="1:1" customFormat="1" ht="14.4" x14ac:dyDescent="0.3">
      <c r="A184" s="235"/>
    </row>
    <row r="185" spans="1:1" customFormat="1" ht="14.4" x14ac:dyDescent="0.3">
      <c r="A185" s="235"/>
    </row>
    <row r="186" spans="1:1" customFormat="1" ht="14.4" x14ac:dyDescent="0.3">
      <c r="A186" s="235"/>
    </row>
    <row r="187" spans="1:1" customFormat="1" ht="14.4" x14ac:dyDescent="0.3">
      <c r="A187" s="235"/>
    </row>
    <row r="188" spans="1:1" customFormat="1" ht="14.4" x14ac:dyDescent="0.3">
      <c r="A188" s="235"/>
    </row>
    <row r="189" spans="1:1" customFormat="1" ht="14.4" x14ac:dyDescent="0.3">
      <c r="A189" s="235"/>
    </row>
    <row r="190" spans="1:1" customFormat="1" ht="14.4" x14ac:dyDescent="0.3">
      <c r="A190" s="235"/>
    </row>
    <row r="191" spans="1:1" customFormat="1" ht="14.4" x14ac:dyDescent="0.3">
      <c r="A191" s="235"/>
    </row>
    <row r="192" spans="1:1" customFormat="1" ht="14.4" x14ac:dyDescent="0.3">
      <c r="A192" s="235"/>
    </row>
    <row r="193" spans="1:1" customFormat="1" ht="14.4" x14ac:dyDescent="0.3">
      <c r="A193" s="235"/>
    </row>
    <row r="194" spans="1:1" customFormat="1" ht="14.4" x14ac:dyDescent="0.3">
      <c r="A194" s="235"/>
    </row>
    <row r="195" spans="1:1" customFormat="1" ht="14.4" x14ac:dyDescent="0.3">
      <c r="A195" s="235"/>
    </row>
    <row r="196" spans="1:1" customFormat="1" ht="14.4" x14ac:dyDescent="0.3">
      <c r="A196" s="235"/>
    </row>
    <row r="197" spans="1:1" customFormat="1" ht="14.4" x14ac:dyDescent="0.3">
      <c r="A197" s="235"/>
    </row>
    <row r="198" spans="1:1" customFormat="1" ht="14.4" x14ac:dyDescent="0.3">
      <c r="A198" s="235"/>
    </row>
    <row r="199" spans="1:1" customFormat="1" ht="14.4" x14ac:dyDescent="0.3">
      <c r="A199" s="235"/>
    </row>
    <row r="200" spans="1:1" customFormat="1" ht="14.4" x14ac:dyDescent="0.3">
      <c r="A200" s="235"/>
    </row>
    <row r="201" spans="1:1" customFormat="1" ht="14.4" x14ac:dyDescent="0.3">
      <c r="A201" s="235"/>
    </row>
    <row r="202" spans="1:1" customFormat="1" ht="14.4" x14ac:dyDescent="0.3">
      <c r="A202" s="235"/>
    </row>
    <row r="203" spans="1:1" customFormat="1" ht="14.4" x14ac:dyDescent="0.3">
      <c r="A203" s="235"/>
    </row>
    <row r="204" spans="1:1" customFormat="1" ht="14.4" x14ac:dyDescent="0.3">
      <c r="A204" s="235"/>
    </row>
    <row r="205" spans="1:1" customFormat="1" ht="14.4" x14ac:dyDescent="0.3">
      <c r="A205" s="235"/>
    </row>
    <row r="206" spans="1:1" customFormat="1" ht="14.4" x14ac:dyDescent="0.3">
      <c r="A206" s="235"/>
    </row>
    <row r="207" spans="1:1" customFormat="1" ht="14.4" x14ac:dyDescent="0.3">
      <c r="A207" s="235"/>
    </row>
    <row r="208" spans="1:1" customFormat="1" ht="14.4" x14ac:dyDescent="0.3">
      <c r="A208" s="235"/>
    </row>
    <row r="209" spans="1:1" customFormat="1" ht="14.4" x14ac:dyDescent="0.3">
      <c r="A209" s="235"/>
    </row>
    <row r="210" spans="1:1" customFormat="1" ht="14.4" x14ac:dyDescent="0.3">
      <c r="A210" s="235"/>
    </row>
    <row r="211" spans="1:1" customFormat="1" ht="14.4" x14ac:dyDescent="0.3">
      <c r="A211" s="235"/>
    </row>
    <row r="212" spans="1:1" customFormat="1" ht="14.4" x14ac:dyDescent="0.3">
      <c r="A212" s="235"/>
    </row>
    <row r="213" spans="1:1" customFormat="1" ht="14.4" x14ac:dyDescent="0.3">
      <c r="A213" s="235"/>
    </row>
    <row r="214" spans="1:1" customFormat="1" ht="14.4" x14ac:dyDescent="0.3">
      <c r="A214" s="235"/>
    </row>
    <row r="215" spans="1:1" customFormat="1" ht="14.4" x14ac:dyDescent="0.3">
      <c r="A215" s="235"/>
    </row>
    <row r="216" spans="1:1" customFormat="1" ht="14.4" x14ac:dyDescent="0.3">
      <c r="A216" s="235"/>
    </row>
    <row r="217" spans="1:1" customFormat="1" ht="14.4" x14ac:dyDescent="0.3">
      <c r="A217" s="235"/>
    </row>
    <row r="218" spans="1:1" customFormat="1" ht="14.4" x14ac:dyDescent="0.3">
      <c r="A218" s="235"/>
    </row>
    <row r="219" spans="1:1" customFormat="1" ht="14.4" x14ac:dyDescent="0.3">
      <c r="A219" s="235"/>
    </row>
    <row r="220" spans="1:1" customFormat="1" ht="14.4" x14ac:dyDescent="0.3">
      <c r="A220" s="235"/>
    </row>
    <row r="221" spans="1:1" customFormat="1" ht="14.4" x14ac:dyDescent="0.3">
      <c r="A221" s="235"/>
    </row>
    <row r="222" spans="1:1" customFormat="1" ht="14.4" x14ac:dyDescent="0.3">
      <c r="A222" s="235"/>
    </row>
    <row r="223" spans="1:1" customFormat="1" ht="14.4" x14ac:dyDescent="0.3">
      <c r="A223" s="235"/>
    </row>
    <row r="224" spans="1:1" customFormat="1" ht="14.4" x14ac:dyDescent="0.3">
      <c r="A224" s="235"/>
    </row>
    <row r="225" spans="1:1" customFormat="1" ht="14.4" x14ac:dyDescent="0.3">
      <c r="A225" s="235"/>
    </row>
    <row r="226" spans="1:1" customFormat="1" ht="14.4" x14ac:dyDescent="0.3">
      <c r="A226" s="235"/>
    </row>
    <row r="227" spans="1:1" customFormat="1" ht="14.4" x14ac:dyDescent="0.3">
      <c r="A227" s="235"/>
    </row>
    <row r="228" spans="1:1" customFormat="1" ht="14.4" x14ac:dyDescent="0.3">
      <c r="A228" s="235"/>
    </row>
    <row r="229" spans="1:1" customFormat="1" ht="14.4" x14ac:dyDescent="0.3">
      <c r="A229" s="235"/>
    </row>
    <row r="230" spans="1:1" customFormat="1" ht="14.4" x14ac:dyDescent="0.3">
      <c r="A230" s="235"/>
    </row>
    <row r="231" spans="1:1" customFormat="1" ht="14.4" x14ac:dyDescent="0.3">
      <c r="A231" s="235"/>
    </row>
    <row r="232" spans="1:1" customFormat="1" ht="14.4" x14ac:dyDescent="0.3">
      <c r="A232" s="235"/>
    </row>
    <row r="233" spans="1:1" customFormat="1" ht="14.4" x14ac:dyDescent="0.3">
      <c r="A233" s="235"/>
    </row>
    <row r="234" spans="1:1" customFormat="1" ht="14.4" x14ac:dyDescent="0.3">
      <c r="A234" s="235"/>
    </row>
    <row r="235" spans="1:1" customFormat="1" ht="14.4" x14ac:dyDescent="0.3">
      <c r="A235" s="235"/>
    </row>
    <row r="236" spans="1:1" customFormat="1" ht="14.4" x14ac:dyDescent="0.3">
      <c r="A236" s="235"/>
    </row>
    <row r="237" spans="1:1" customFormat="1" ht="14.4" x14ac:dyDescent="0.3">
      <c r="A237" s="235"/>
    </row>
    <row r="238" spans="1:1" customFormat="1" ht="14.4" x14ac:dyDescent="0.3">
      <c r="A238" s="235"/>
    </row>
    <row r="239" spans="1:1" customFormat="1" ht="14.4" x14ac:dyDescent="0.3">
      <c r="A239" s="235"/>
    </row>
    <row r="240" spans="1:1" customFormat="1" ht="14.4" x14ac:dyDescent="0.3">
      <c r="A240" s="235"/>
    </row>
    <row r="241" spans="1:1" customFormat="1" ht="14.4" x14ac:dyDescent="0.3">
      <c r="A241" s="235"/>
    </row>
    <row r="242" spans="1:1" customFormat="1" ht="14.4" x14ac:dyDescent="0.3">
      <c r="A242" s="235"/>
    </row>
    <row r="243" spans="1:1" customFormat="1" ht="14.4" x14ac:dyDescent="0.3">
      <c r="A243" s="235"/>
    </row>
    <row r="244" spans="1:1" customFormat="1" ht="14.4" x14ac:dyDescent="0.3">
      <c r="A244" s="235"/>
    </row>
    <row r="245" spans="1:1" customFormat="1" ht="14.4" x14ac:dyDescent="0.3">
      <c r="A245" s="235"/>
    </row>
    <row r="246" spans="1:1" customFormat="1" ht="14.4" x14ac:dyDescent="0.3">
      <c r="A246" s="235"/>
    </row>
    <row r="247" spans="1:1" customFormat="1" ht="14.4" x14ac:dyDescent="0.3">
      <c r="A247" s="235"/>
    </row>
    <row r="248" spans="1:1" customFormat="1" ht="14.4" x14ac:dyDescent="0.3">
      <c r="A248" s="235"/>
    </row>
    <row r="249" spans="1:1" customFormat="1" ht="14.4" x14ac:dyDescent="0.3">
      <c r="A249" s="235"/>
    </row>
    <row r="250" spans="1:1" customFormat="1" ht="14.4" x14ac:dyDescent="0.3">
      <c r="A250" s="235"/>
    </row>
    <row r="251" spans="1:1" customFormat="1" ht="14.4" x14ac:dyDescent="0.3">
      <c r="A251" s="235"/>
    </row>
    <row r="252" spans="1:1" customFormat="1" ht="14.4" x14ac:dyDescent="0.3">
      <c r="A252" s="235"/>
    </row>
    <row r="253" spans="1:1" customFormat="1" ht="14.4" x14ac:dyDescent="0.3">
      <c r="A253" s="235"/>
    </row>
    <row r="254" spans="1:1" customFormat="1" ht="14.4" x14ac:dyDescent="0.3">
      <c r="A254" s="235"/>
    </row>
    <row r="255" spans="1:1" customFormat="1" ht="14.4" x14ac:dyDescent="0.3">
      <c r="A255" s="235"/>
    </row>
    <row r="256" spans="1:1" customFormat="1" ht="14.4" x14ac:dyDescent="0.3">
      <c r="A256" s="235"/>
    </row>
    <row r="257" spans="1:1" customFormat="1" ht="14.4" x14ac:dyDescent="0.3">
      <c r="A257" s="235"/>
    </row>
    <row r="258" spans="1:1" customFormat="1" ht="14.4" x14ac:dyDescent="0.3">
      <c r="A258" s="235"/>
    </row>
    <row r="259" spans="1:1" customFormat="1" ht="14.4" x14ac:dyDescent="0.3">
      <c r="A259" s="235"/>
    </row>
    <row r="260" spans="1:1" customFormat="1" ht="14.4" x14ac:dyDescent="0.3">
      <c r="A260" s="235"/>
    </row>
    <row r="261" spans="1:1" customFormat="1" ht="14.4" x14ac:dyDescent="0.3">
      <c r="A261" s="235"/>
    </row>
    <row r="262" spans="1:1" customFormat="1" ht="14.4" x14ac:dyDescent="0.3">
      <c r="A262" s="235"/>
    </row>
    <row r="263" spans="1:1" customFormat="1" ht="14.4" x14ac:dyDescent="0.3">
      <c r="A263" s="235"/>
    </row>
    <row r="264" spans="1:1" customFormat="1" ht="14.4" x14ac:dyDescent="0.3">
      <c r="A264" s="235"/>
    </row>
    <row r="265" spans="1:1" customFormat="1" ht="14.4" x14ac:dyDescent="0.3">
      <c r="A265" s="235"/>
    </row>
    <row r="266" spans="1:1" customFormat="1" ht="14.4" x14ac:dyDescent="0.3">
      <c r="A266" s="235"/>
    </row>
    <row r="267" spans="1:1" customFormat="1" ht="14.4" x14ac:dyDescent="0.3">
      <c r="A267" s="235"/>
    </row>
    <row r="268" spans="1:1" customFormat="1" ht="14.4" x14ac:dyDescent="0.3">
      <c r="A268" s="235"/>
    </row>
    <row r="269" spans="1:1" customFormat="1" ht="14.4" x14ac:dyDescent="0.3">
      <c r="A269" s="235"/>
    </row>
    <row r="270" spans="1:1" customFormat="1" ht="14.4" x14ac:dyDescent="0.3">
      <c r="A270" s="235"/>
    </row>
    <row r="271" spans="1:1" customFormat="1" ht="14.4" x14ac:dyDescent="0.3">
      <c r="A271" s="235"/>
    </row>
    <row r="272" spans="1:1" customFormat="1" ht="14.4" x14ac:dyDescent="0.3">
      <c r="A272" s="235"/>
    </row>
    <row r="273" spans="1:1" customFormat="1" ht="14.4" x14ac:dyDescent="0.3">
      <c r="A273" s="235"/>
    </row>
    <row r="274" spans="1:1" customFormat="1" ht="14.4" x14ac:dyDescent="0.3">
      <c r="A274" s="235"/>
    </row>
    <row r="275" spans="1:1" customFormat="1" ht="14.4" x14ac:dyDescent="0.3">
      <c r="A275" s="235"/>
    </row>
    <row r="276" spans="1:1" customFormat="1" ht="14.4" x14ac:dyDescent="0.3">
      <c r="A276" s="235"/>
    </row>
    <row r="277" spans="1:1" customFormat="1" ht="14.4" x14ac:dyDescent="0.3">
      <c r="A277" s="235"/>
    </row>
    <row r="278" spans="1:1" customFormat="1" ht="14.4" x14ac:dyDescent="0.3">
      <c r="A278" s="235"/>
    </row>
    <row r="279" spans="1:1" customFormat="1" ht="14.4" x14ac:dyDescent="0.3">
      <c r="A279" s="235"/>
    </row>
    <row r="280" spans="1:1" customFormat="1" ht="14.4" x14ac:dyDescent="0.3">
      <c r="A280" s="235"/>
    </row>
    <row r="281" spans="1:1" customFormat="1" ht="14.4" x14ac:dyDescent="0.3">
      <c r="A281" s="235"/>
    </row>
    <row r="282" spans="1:1" customFormat="1" ht="14.4" x14ac:dyDescent="0.3">
      <c r="A282" s="235"/>
    </row>
    <row r="283" spans="1:1" customFormat="1" ht="14.4" x14ac:dyDescent="0.3">
      <c r="A283" s="235"/>
    </row>
    <row r="284" spans="1:1" customFormat="1" ht="14.4" x14ac:dyDescent="0.3">
      <c r="A284" s="235"/>
    </row>
    <row r="285" spans="1:1" customFormat="1" ht="14.4" x14ac:dyDescent="0.3">
      <c r="A285" s="235"/>
    </row>
    <row r="286" spans="1:1" customFormat="1" ht="14.4" x14ac:dyDescent="0.3">
      <c r="A286" s="235"/>
    </row>
    <row r="287" spans="1:1" customFormat="1" ht="14.4" x14ac:dyDescent="0.3">
      <c r="A287" s="235"/>
    </row>
    <row r="288" spans="1:1" customFormat="1" ht="14.4" x14ac:dyDescent="0.3">
      <c r="A288" s="235"/>
    </row>
    <row r="289" spans="1:1" customFormat="1" ht="14.4" x14ac:dyDescent="0.3">
      <c r="A289" s="235"/>
    </row>
    <row r="290" spans="1:1" customFormat="1" ht="14.4" x14ac:dyDescent="0.3">
      <c r="A290" s="235"/>
    </row>
    <row r="291" spans="1:1" customFormat="1" ht="14.4" x14ac:dyDescent="0.3">
      <c r="A291" s="235"/>
    </row>
    <row r="292" spans="1:1" customFormat="1" ht="14.4" x14ac:dyDescent="0.3">
      <c r="A292" s="235"/>
    </row>
    <row r="293" spans="1:1" customFormat="1" ht="14.4" x14ac:dyDescent="0.3">
      <c r="A293" s="235"/>
    </row>
    <row r="294" spans="1:1" customFormat="1" ht="14.4" x14ac:dyDescent="0.3">
      <c r="A294" s="235"/>
    </row>
    <row r="295" spans="1:1" customFormat="1" ht="14.4" x14ac:dyDescent="0.3">
      <c r="A295" s="235"/>
    </row>
    <row r="296" spans="1:1" customFormat="1" ht="14.4" x14ac:dyDescent="0.3">
      <c r="A296" s="235"/>
    </row>
    <row r="297" spans="1:1" customFormat="1" ht="14.4" x14ac:dyDescent="0.3">
      <c r="A297" s="235"/>
    </row>
    <row r="298" spans="1:1" customFormat="1" ht="14.4" x14ac:dyDescent="0.3">
      <c r="A298" s="235"/>
    </row>
    <row r="299" spans="1:1" customFormat="1" ht="14.4" x14ac:dyDescent="0.3">
      <c r="A299" s="235"/>
    </row>
    <row r="300" spans="1:1" customFormat="1" ht="14.4" x14ac:dyDescent="0.3">
      <c r="A300" s="235"/>
    </row>
    <row r="301" spans="1:1" customFormat="1" ht="14.4" x14ac:dyDescent="0.3">
      <c r="A301" s="235"/>
    </row>
    <row r="302" spans="1:1" customFormat="1" ht="14.4" x14ac:dyDescent="0.3">
      <c r="A302" s="235"/>
    </row>
    <row r="303" spans="1:1" customFormat="1" ht="14.4" x14ac:dyDescent="0.3">
      <c r="A303" s="235"/>
    </row>
    <row r="304" spans="1:1" customFormat="1" ht="14.4" x14ac:dyDescent="0.3">
      <c r="A304" s="235"/>
    </row>
    <row r="305" spans="1:1" customFormat="1" ht="14.4" x14ac:dyDescent="0.3">
      <c r="A305" s="235"/>
    </row>
    <row r="306" spans="1:1" customFormat="1" ht="14.4" x14ac:dyDescent="0.3">
      <c r="A306" s="235"/>
    </row>
    <row r="307" spans="1:1" customFormat="1" ht="14.4" x14ac:dyDescent="0.3">
      <c r="A307" s="235"/>
    </row>
    <row r="308" spans="1:1" customFormat="1" ht="14.4" x14ac:dyDescent="0.3">
      <c r="A308" s="235"/>
    </row>
    <row r="309" spans="1:1" customFormat="1" ht="14.4" x14ac:dyDescent="0.3">
      <c r="A309" s="235"/>
    </row>
    <row r="310" spans="1:1" customFormat="1" ht="14.4" x14ac:dyDescent="0.3">
      <c r="A310" s="235"/>
    </row>
    <row r="311" spans="1:1" customFormat="1" ht="14.4" x14ac:dyDescent="0.3">
      <c r="A311" s="235"/>
    </row>
    <row r="312" spans="1:1" customFormat="1" ht="14.4" x14ac:dyDescent="0.3">
      <c r="A312" s="235"/>
    </row>
    <row r="313" spans="1:1" customFormat="1" ht="14.4" x14ac:dyDescent="0.3">
      <c r="A313" s="235"/>
    </row>
    <row r="314" spans="1:1" customFormat="1" ht="14.4" x14ac:dyDescent="0.3">
      <c r="A314" s="235"/>
    </row>
    <row r="315" spans="1:1" customFormat="1" ht="14.4" x14ac:dyDescent="0.3">
      <c r="A315" s="235"/>
    </row>
    <row r="316" spans="1:1" customFormat="1" ht="14.4" x14ac:dyDescent="0.3">
      <c r="A316" s="235"/>
    </row>
    <row r="317" spans="1:1" customFormat="1" ht="14.4" x14ac:dyDescent="0.3">
      <c r="A317" s="235"/>
    </row>
    <row r="318" spans="1:1" customFormat="1" ht="14.4" x14ac:dyDescent="0.3">
      <c r="A318" s="235"/>
    </row>
    <row r="319" spans="1:1" customFormat="1" ht="14.4" x14ac:dyDescent="0.3">
      <c r="A319" s="235"/>
    </row>
    <row r="320" spans="1:1" customFormat="1" ht="14.4" x14ac:dyDescent="0.3">
      <c r="A320" s="235"/>
    </row>
    <row r="321" spans="1:1" customFormat="1" ht="14.4" x14ac:dyDescent="0.3">
      <c r="A321" s="235"/>
    </row>
    <row r="322" spans="1:1" customFormat="1" ht="14.4" x14ac:dyDescent="0.3">
      <c r="A322" s="235"/>
    </row>
    <row r="323" spans="1:1" customFormat="1" ht="14.4" x14ac:dyDescent="0.3">
      <c r="A323" s="235"/>
    </row>
    <row r="324" spans="1:1" customFormat="1" ht="14.4" x14ac:dyDescent="0.3">
      <c r="A324" s="235"/>
    </row>
    <row r="325" spans="1:1" customFormat="1" ht="14.4" x14ac:dyDescent="0.3">
      <c r="A325" s="235"/>
    </row>
    <row r="326" spans="1:1" customFormat="1" ht="14.4" x14ac:dyDescent="0.3">
      <c r="A326" s="235"/>
    </row>
    <row r="327" spans="1:1" customFormat="1" ht="14.4" x14ac:dyDescent="0.3">
      <c r="A327" s="235"/>
    </row>
    <row r="328" spans="1:1" customFormat="1" ht="14.4" x14ac:dyDescent="0.3">
      <c r="A328" s="235"/>
    </row>
    <row r="329" spans="1:1" customFormat="1" ht="14.4" x14ac:dyDescent="0.3">
      <c r="A329" s="235"/>
    </row>
    <row r="330" spans="1:1" customFormat="1" ht="14.4" x14ac:dyDescent="0.3">
      <c r="A330" s="235"/>
    </row>
    <row r="331" spans="1:1" customFormat="1" ht="14.4" x14ac:dyDescent="0.3">
      <c r="A331" s="235"/>
    </row>
    <row r="332" spans="1:1" customFormat="1" ht="14.4" x14ac:dyDescent="0.3">
      <c r="A332" s="235"/>
    </row>
    <row r="333" spans="1:1" customFormat="1" ht="14.4" x14ac:dyDescent="0.3">
      <c r="A333" s="235"/>
    </row>
    <row r="334" spans="1:1" customFormat="1" ht="14.4" x14ac:dyDescent="0.3">
      <c r="A334" s="235"/>
    </row>
    <row r="335" spans="1:1" customFormat="1" ht="14.4" x14ac:dyDescent="0.3">
      <c r="A335" s="235"/>
    </row>
    <row r="336" spans="1:1" customFormat="1" ht="14.4" x14ac:dyDescent="0.3">
      <c r="A336" s="235"/>
    </row>
    <row r="337" spans="1:1" customFormat="1" ht="14.4" x14ac:dyDescent="0.3">
      <c r="A337" s="235"/>
    </row>
    <row r="338" spans="1:1" customFormat="1" ht="14.4" x14ac:dyDescent="0.3">
      <c r="A338" s="235"/>
    </row>
  </sheetData>
  <dataValidations count="5">
    <dataValidation type="list" allowBlank="1" showInputMessage="1" showErrorMessage="1" sqref="C33" xr:uid="{8E7644AA-F3D4-4B02-8068-4C491DA5D76E}">
      <formula1>"1m,3m"</formula1>
    </dataValidation>
    <dataValidation type="list" allowBlank="1" showInputMessage="1" showErrorMessage="1" sqref="C8" xr:uid="{1616E251-939B-4756-9DEF-D822C00DA5A7}">
      <formula1>"EUR,JPY,USD"</formula1>
    </dataValidation>
    <dataValidation type="list" allowBlank="1" showInputMessage="1" showErrorMessage="1" sqref="C13" xr:uid="{889B973C-4E03-40DA-B608-A7ABD28A72E5}">
      <formula1>"3m,6m,1y"</formula1>
    </dataValidation>
    <dataValidation type="list" allowBlank="1" showInputMessage="1" showErrorMessage="1" sqref="C14" xr:uid="{864E5B19-D78E-4E3C-AA90-D614A84EAF8C}">
      <formula1>"ShortFirst,LongFirst,ShortLast,LongLast"</formula1>
    </dataValidation>
    <dataValidation type="list" allowBlank="1" showInputMessage="1" showErrorMessage="1" sqref="C30:C31 I5 C27 C24:C25" xr:uid="{12491586-1EE8-40FD-976F-5205D535BF76}">
      <formula1>TrueFalseList</formula1>
    </dataValidation>
  </dataValidations>
  <pageMargins left="0.78740157499999996" right="0.78740157499999996" top="0.984251969" bottom="0.984251969" header="0.5" footer="0.5"/>
  <pageSetup paperSize="9" scale="76" orientation="landscape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8C84E-3BB1-4C6E-8C23-8BDA4D07F7EB}">
  <sheetPr codeName="Feuil9"/>
  <dimension ref="A1"/>
  <sheetViews>
    <sheetView workbookViewId="0">
      <selection activeCell="G16" sqref="G16"/>
    </sheetView>
  </sheetViews>
  <sheetFormatPr baseColWidth="10" defaultRowHeight="14.4" x14ac:dyDescent="0.3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D2A4A135D144C4CB6846B8B8F0ACDAC" ma:contentTypeVersion="15" ma:contentTypeDescription="Create a new document." ma:contentTypeScope="" ma:versionID="a27c2cf683a8f6ac87d2c356ec21bb2d">
  <xsd:schema xmlns:xsd="http://www.w3.org/2001/XMLSchema" xmlns:xs="http://www.w3.org/2001/XMLSchema" xmlns:p="http://schemas.microsoft.com/office/2006/metadata/properties" xmlns:ns3="ae5a8089-fc57-4f9e-873e-1fba7c9cd486" xmlns:ns4="04178dd5-0677-4696-9ffd-1152be57b2bb" targetNamespace="http://schemas.microsoft.com/office/2006/metadata/properties" ma:root="true" ma:fieldsID="8aa3c14213f7925e3c17b8d5bd534352" ns3:_="" ns4:_="">
    <xsd:import namespace="ae5a8089-fc57-4f9e-873e-1fba7c9cd486"/>
    <xsd:import namespace="04178dd5-0677-4696-9ffd-1152be57b2bb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bjectDetectorVersions" minOccurs="0"/>
                <xsd:element ref="ns3:MediaServiceSystemTags" minOccurs="0"/>
                <xsd:element ref="ns3:MediaServiceSearchProperties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e5a8089-fc57-4f9e-873e-1fba7c9cd48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19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20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_activity" ma:index="22" nillable="true" ma:displayName="_activity" ma:hidden="true" ma:internalName="_activity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4178dd5-0677-4696-9ffd-1152be57b2bb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8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e5a8089-fc57-4f9e-873e-1fba7c9cd486" xsi:nil="true"/>
  </documentManagement>
</p:properties>
</file>

<file path=customXml/itemProps1.xml><?xml version="1.0" encoding="utf-8"?>
<ds:datastoreItem xmlns:ds="http://schemas.openxmlformats.org/officeDocument/2006/customXml" ds:itemID="{342DC395-A533-43B5-AA17-BFF4B1B79B3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e5a8089-fc57-4f9e-873e-1fba7c9cd486"/>
    <ds:schemaRef ds:uri="04178dd5-0677-4696-9ffd-1152be57b2b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C417CFB3-7716-4E6B-9F65-C45D761C03B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1A021B5-8D89-4903-A106-ACE658E9A877}">
  <ds:schemaRefs>
    <ds:schemaRef ds:uri="http://purl.org/dc/terms/"/>
    <ds:schemaRef ds:uri="http://schemas.microsoft.com/office/2006/metadata/properties"/>
    <ds:schemaRef ds:uri="http://purl.org/dc/dcmitype/"/>
    <ds:schemaRef ds:uri="http://schemas.microsoft.com/office/2006/documentManagement/types"/>
    <ds:schemaRef ds:uri="http://schemas.microsoft.com/office/infopath/2007/PartnerControls"/>
    <ds:schemaRef ds:uri="04178dd5-0677-4696-9ffd-1152be57b2bb"/>
    <ds:schemaRef ds:uri="http://www.w3.org/XML/1998/namespace"/>
    <ds:schemaRef ds:uri="http://schemas.openxmlformats.org/package/2006/metadata/core-properties"/>
    <ds:schemaRef ds:uri="ae5a8089-fc57-4f9e-873e-1fba7c9cd486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15</vt:i4>
      </vt:variant>
    </vt:vector>
  </HeadingPairs>
  <TitlesOfParts>
    <vt:vector size="23" baseType="lpstr">
      <vt:lpstr>Parametres</vt:lpstr>
      <vt:lpstr>Option</vt:lpstr>
      <vt:lpstr>IRS Strip</vt:lpstr>
      <vt:lpstr>CDS Strip</vt:lpstr>
      <vt:lpstr>CDS</vt:lpstr>
      <vt:lpstr>Fwd Intensity</vt:lpstr>
      <vt:lpstr>CDO Bespoke</vt:lpstr>
      <vt:lpstr>FRTB</vt:lpstr>
      <vt:lpstr>CDSRollDate</vt:lpstr>
      <vt:lpstr>'CDO Bespoke'!Currency2</vt:lpstr>
      <vt:lpstr>CurvePointsList</vt:lpstr>
      <vt:lpstr>optionFlag</vt:lpstr>
      <vt:lpstr>optionPosition</vt:lpstr>
      <vt:lpstr>Parameter_Date</vt:lpstr>
      <vt:lpstr>'CDO Bespoke'!poids</vt:lpstr>
      <vt:lpstr>SpreadCurveMaturities</vt:lpstr>
      <vt:lpstr>'CDO Bespoke'!sumpoi</vt:lpstr>
      <vt:lpstr>'CDO Bespoke'!sumpoids</vt:lpstr>
      <vt:lpstr>'CDO Bespoke'!SumWeights</vt:lpstr>
      <vt:lpstr>Swap_Convention</vt:lpstr>
      <vt:lpstr>TrueFalseList</vt:lpstr>
      <vt:lpstr>Underlying</vt:lpstr>
      <vt:lpstr>'CDO Bespoke'!Zone_d_impression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BADUET Line</dc:creator>
  <cp:lastModifiedBy>BADUET Line</cp:lastModifiedBy>
  <cp:lastPrinted>2024-02-23T20:28:43Z</cp:lastPrinted>
  <dcterms:created xsi:type="dcterms:W3CDTF">2024-01-30T12:40:02Z</dcterms:created>
  <dcterms:modified xsi:type="dcterms:W3CDTF">2024-04-08T10:51:33Z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0x010100DD2A4A135D144C4CB6846B8B8F0ACDAC</vt:lpwstr>
  </property>
</Properties>
</file>