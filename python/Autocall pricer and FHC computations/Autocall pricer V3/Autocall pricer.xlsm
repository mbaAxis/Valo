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.ben-el-ghoul\PycharmProjects\Autocall pricer V3\"/>
    </mc:Choice>
  </mc:AlternateContent>
  <xr:revisionPtr revIDLastSave="0" documentId="13_ncr:1_{7C2B28B2-759D-4BBF-8C1B-B065D2F616D8}" xr6:coauthVersionLast="47" xr6:coauthVersionMax="47" xr10:uidLastSave="{00000000-0000-0000-0000-000000000000}"/>
  <bookViews>
    <workbookView xWindow="-110" yWindow="-110" windowWidth="19420" windowHeight="11500" xr2:uid="{6A0220F2-DECC-47E8-A4F6-6D4CB81938E8}"/>
  </bookViews>
  <sheets>
    <sheet name="Main" sheetId="1" r:id="rId1"/>
    <sheet name="Calibration_Plots" sheetId="3" r:id="rId2"/>
    <sheet name="Arbitrage" sheetId="6" r:id="rId3"/>
    <sheet name="Vol_surfaces" sheetId="7" r:id="rId4"/>
    <sheet name="Greeks_test" sheetId="2" r:id="rId5"/>
    <sheet name="Test_pricer_online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C25" i="2"/>
  <c r="B10" i="2"/>
</calcChain>
</file>

<file path=xl/sharedStrings.xml><?xml version="1.0" encoding="utf-8"?>
<sst xmlns="http://schemas.openxmlformats.org/spreadsheetml/2006/main" count="154" uniqueCount="73">
  <si>
    <t>Vol Type</t>
  </si>
  <si>
    <t>Price</t>
  </si>
  <si>
    <t>Delta</t>
  </si>
  <si>
    <t>Gamma</t>
  </si>
  <si>
    <t>Vomma</t>
  </si>
  <si>
    <t>LV</t>
  </si>
  <si>
    <t>AXA</t>
  </si>
  <si>
    <t>AIRBUS</t>
  </si>
  <si>
    <t>Multiasset Autocall</t>
  </si>
  <si>
    <t>Assets</t>
  </si>
  <si>
    <t>Autocall Barrier</t>
  </si>
  <si>
    <t>Protection Barrier</t>
  </si>
  <si>
    <t>Coupon</t>
  </si>
  <si>
    <t>Frequency of Observations</t>
  </si>
  <si>
    <t>Maturity</t>
  </si>
  <si>
    <t>0.8</t>
  </si>
  <si>
    <t>0.06</t>
  </si>
  <si>
    <t>Asset</t>
  </si>
  <si>
    <t>Vega</t>
  </si>
  <si>
    <t>nbr of assets</t>
  </si>
  <si>
    <t>Monoasset Autocall</t>
  </si>
  <si>
    <t>Completed</t>
  </si>
  <si>
    <t>Monoasset</t>
  </si>
  <si>
    <t>AT</t>
  </si>
  <si>
    <t>BP</t>
  </si>
  <si>
    <t>Frequency observation</t>
  </si>
  <si>
    <t>0.03</t>
  </si>
  <si>
    <t>N</t>
  </si>
  <si>
    <t>SPOT</t>
  </si>
  <si>
    <t>Vol type</t>
  </si>
  <si>
    <t>Running time</t>
  </si>
  <si>
    <t>1.1</t>
  </si>
  <si>
    <t>1.2</t>
  </si>
  <si>
    <t>158.2</t>
  </si>
  <si>
    <t>Dividends</t>
  </si>
  <si>
    <t>Dividends yield</t>
  </si>
  <si>
    <t>AAA bonds rates on 25/04/2024</t>
  </si>
  <si>
    <t>Riskless rates</t>
  </si>
  <si>
    <t>Multiasset</t>
  </si>
  <si>
    <t>Spot</t>
  </si>
  <si>
    <t>Div yield</t>
  </si>
  <si>
    <t>33.875</t>
  </si>
  <si>
    <t>Running time (Seconds)</t>
  </si>
  <si>
    <t>Notional</t>
  </si>
  <si>
    <t>ORANGE</t>
  </si>
  <si>
    <t>VOL</t>
  </si>
  <si>
    <t>Autocall barrier</t>
  </si>
  <si>
    <t>Put Barrier</t>
  </si>
  <si>
    <t>Online Pricer</t>
  </si>
  <si>
    <t>My pricer</t>
  </si>
  <si>
    <t>Constant vol</t>
  </si>
  <si>
    <t>Interest rate</t>
  </si>
  <si>
    <t>0.03886</t>
  </si>
  <si>
    <t>0.00632</t>
  </si>
  <si>
    <t>Annualized coupon level</t>
  </si>
  <si>
    <t>0.2</t>
  </si>
  <si>
    <t>1.5</t>
  </si>
  <si>
    <t>0.5</t>
  </si>
  <si>
    <t>Frequency of observation</t>
  </si>
  <si>
    <t>2 (semi annually)</t>
  </si>
  <si>
    <t>4 (3months period)</t>
  </si>
  <si>
    <t>1 (annually)</t>
  </si>
  <si>
    <t>4 (3 months period)</t>
  </si>
  <si>
    <t>101.17</t>
  </si>
  <si>
    <t>99.81</t>
  </si>
  <si>
    <t>101.02</t>
  </si>
  <si>
    <t>93.66</t>
  </si>
  <si>
    <t>99.46</t>
  </si>
  <si>
    <t>94.72</t>
  </si>
  <si>
    <t>90.28</t>
  </si>
  <si>
    <t>96.33</t>
  </si>
  <si>
    <t>94.57</t>
  </si>
  <si>
    <t>101.96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</si>
</sst>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7" borderId="0" xfId="0" applyFill="1"/>
    <xf numFmtId="0" fontId="0" fillId="8" borderId="0" xfId="0" applyFill="1"/>
    <xf numFmtId="0" fontId="0" fillId="7" borderId="0" xfId="0" applyFill="1" applyAlignment="1">
      <alignment wrapText="1"/>
    </xf>
    <xf numFmtId="0" fontId="0" fillId="0" borderId="0" xfId="0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/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0" borderId="0" xfId="0" applyAlignment="1"/>
    <xf numFmtId="0" fontId="0" fillId="3" borderId="0" xfId="0" applyFill="1" applyAlignment="1">
      <alignment horizont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8FE05-F206-4C36-803C-6021D5B11E17}">
  <sheetPr codeName="Feuil1"/>
  <dimension ref="B2:M13"/>
  <sheetViews>
    <sheetView tabSelected="1" workbookViewId="0">
      <selection activeCell="K16" sqref="K16"/>
    </sheetView>
  </sheetViews>
  <sheetFormatPr baseColWidth="10" defaultRowHeight="14.5" x14ac:dyDescent="0.35"/>
  <cols>
    <col min="2" max="2" width="22.453125" bestFit="1" customWidth="1"/>
  </cols>
  <sheetData>
    <row r="2" spans="2:13" x14ac:dyDescent="0.35">
      <c r="E2" s="13" t="s">
        <v>8</v>
      </c>
      <c r="F2" s="13"/>
      <c r="G2" s="13"/>
      <c r="H2" s="13"/>
      <c r="J2" s="13" t="s">
        <v>20</v>
      </c>
      <c r="K2" s="13"/>
      <c r="L2" s="13"/>
      <c r="M2" s="13"/>
    </row>
    <row r="3" spans="2:13" x14ac:dyDescent="0.35">
      <c r="B3" s="3" t="s">
        <v>19</v>
      </c>
      <c r="C3">
        <v>1</v>
      </c>
      <c r="E3" s="13"/>
      <c r="F3" s="13"/>
      <c r="G3" s="13"/>
      <c r="H3" s="13"/>
      <c r="J3" s="13"/>
      <c r="K3" s="13"/>
      <c r="L3" s="13"/>
      <c r="M3" s="13"/>
    </row>
    <row r="4" spans="2:13" s="15" customFormat="1" x14ac:dyDescent="0.35"/>
    <row r="5" spans="2:13" x14ac:dyDescent="0.35">
      <c r="B5" s="3" t="s">
        <v>10</v>
      </c>
      <c r="C5">
        <v>1</v>
      </c>
      <c r="E5" s="14" t="s">
        <v>9</v>
      </c>
      <c r="F5" t="s">
        <v>44</v>
      </c>
      <c r="G5" s="4" t="s">
        <v>1</v>
      </c>
      <c r="H5">
        <v>97.167905863070317</v>
      </c>
      <c r="J5" s="3" t="s">
        <v>17</v>
      </c>
      <c r="K5" t="s">
        <v>7</v>
      </c>
      <c r="L5" s="4" t="s">
        <v>1</v>
      </c>
      <c r="M5">
        <v>87.254773925722247</v>
      </c>
    </row>
    <row r="6" spans="2:13" x14ac:dyDescent="0.35">
      <c r="B6" s="3" t="s">
        <v>11</v>
      </c>
      <c r="C6" s="1" t="s">
        <v>15</v>
      </c>
      <c r="E6" s="14"/>
      <c r="F6" t="s">
        <v>7</v>
      </c>
      <c r="G6" s="4" t="s">
        <v>2</v>
      </c>
      <c r="H6">
        <v>11.160032605642785</v>
      </c>
      <c r="L6" s="4" t="s">
        <v>2</v>
      </c>
      <c r="M6">
        <v>10.939086611978478</v>
      </c>
    </row>
    <row r="7" spans="2:13" x14ac:dyDescent="0.35">
      <c r="B7" s="3" t="s">
        <v>12</v>
      </c>
      <c r="C7" s="1" t="s">
        <v>16</v>
      </c>
      <c r="E7" s="14"/>
      <c r="G7" s="4" t="s">
        <v>3</v>
      </c>
      <c r="H7">
        <v>165.40297648069921</v>
      </c>
      <c r="L7" s="4" t="s">
        <v>3</v>
      </c>
      <c r="M7">
        <v>2.1270663206588165</v>
      </c>
    </row>
    <row r="8" spans="2:13" x14ac:dyDescent="0.35">
      <c r="B8" s="3" t="s">
        <v>13</v>
      </c>
      <c r="C8">
        <v>3</v>
      </c>
      <c r="G8" s="4" t="s">
        <v>18</v>
      </c>
      <c r="H8">
        <v>-4.856116274353889</v>
      </c>
      <c r="L8" s="4" t="s">
        <v>18</v>
      </c>
      <c r="M8">
        <v>0</v>
      </c>
    </row>
    <row r="9" spans="2:13" x14ac:dyDescent="0.35">
      <c r="B9" s="2"/>
      <c r="G9" s="4" t="s">
        <v>4</v>
      </c>
      <c r="H9">
        <v>176.41510129904441</v>
      </c>
      <c r="L9" s="4" t="s">
        <v>4</v>
      </c>
      <c r="M9">
        <v>25.745246918000991</v>
      </c>
    </row>
    <row r="10" spans="2:13" x14ac:dyDescent="0.35">
      <c r="B10" s="3" t="s">
        <v>0</v>
      </c>
      <c r="C10" s="1" t="s">
        <v>5</v>
      </c>
    </row>
    <row r="11" spans="2:13" x14ac:dyDescent="0.35">
      <c r="B11" s="3" t="s">
        <v>14</v>
      </c>
      <c r="C11">
        <v>3</v>
      </c>
    </row>
    <row r="13" spans="2:13" x14ac:dyDescent="0.35">
      <c r="C13" t="s">
        <v>21</v>
      </c>
    </row>
  </sheetData>
  <mergeCells count="4">
    <mergeCell ref="E2:H3"/>
    <mergeCell ref="E5:E7"/>
    <mergeCell ref="A4:XFD4"/>
    <mergeCell ref="J2:M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1CB-3B38-405D-A2F5-E0D26AB1E95B}">
  <sheetPr codeName="Feuil3"/>
  <dimension ref="A1"/>
  <sheetViews>
    <sheetView zoomScale="76" zoomScaleNormal="76"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D18EB-AB1F-45FF-90D9-51B3B54D03DD}">
  <dimension ref="A1"/>
  <sheetViews>
    <sheetView topLeftCell="A43" workbookViewId="0">
      <selection activeCell="H24" sqref="H24"/>
    </sheetView>
  </sheetViews>
  <sheetFormatPr baseColWidth="10"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D4CF-DB97-450B-B482-DDDEC044C387}"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0523-700B-41C4-82EA-7C1ABAACF76D}">
  <sheetPr codeName="Feuil2"/>
  <dimension ref="A1:N31"/>
  <sheetViews>
    <sheetView zoomScale="95" zoomScaleNormal="100" workbookViewId="0">
      <selection activeCell="C1" sqref="C1"/>
    </sheetView>
  </sheetViews>
  <sheetFormatPr baseColWidth="10" defaultRowHeight="14.5" x14ac:dyDescent="0.35"/>
  <cols>
    <col min="1" max="1" width="12.81640625" bestFit="1" customWidth="1"/>
    <col min="2" max="2" width="11.453125" customWidth="1"/>
    <col min="7" max="7" width="19.1796875" bestFit="1" customWidth="1"/>
    <col min="14" max="14" width="19.90625" bestFit="1" customWidth="1"/>
  </cols>
  <sheetData>
    <row r="1" spans="1:14" x14ac:dyDescent="0.35">
      <c r="D1" s="16" t="s">
        <v>22</v>
      </c>
      <c r="E1" s="16"/>
      <c r="F1" s="16"/>
      <c r="G1" s="16"/>
      <c r="H1" s="16"/>
      <c r="I1" s="16"/>
      <c r="J1" s="16"/>
      <c r="K1" s="16"/>
      <c r="L1" s="16"/>
    </row>
    <row r="2" spans="1:14" x14ac:dyDescent="0.35">
      <c r="A2" s="12" t="s">
        <v>19</v>
      </c>
      <c r="B2" s="12">
        <v>1</v>
      </c>
      <c r="D2" s="16"/>
      <c r="E2" s="16"/>
      <c r="F2" s="16"/>
      <c r="G2" s="16"/>
      <c r="H2" s="16"/>
      <c r="I2" s="16"/>
      <c r="J2" s="16"/>
      <c r="K2" s="16"/>
      <c r="L2" s="16"/>
    </row>
    <row r="3" spans="1:14" x14ac:dyDescent="0.35">
      <c r="A3" s="12" t="s">
        <v>43</v>
      </c>
      <c r="B3" s="12">
        <v>100</v>
      </c>
      <c r="D3" s="3" t="s">
        <v>23</v>
      </c>
      <c r="E3" s="3" t="s">
        <v>24</v>
      </c>
      <c r="F3" s="3" t="s">
        <v>12</v>
      </c>
      <c r="G3" s="3" t="s">
        <v>25</v>
      </c>
      <c r="H3" s="4" t="s">
        <v>1</v>
      </c>
      <c r="I3" s="4" t="s">
        <v>2</v>
      </c>
      <c r="J3" s="4" t="s">
        <v>3</v>
      </c>
      <c r="K3" s="4" t="s">
        <v>18</v>
      </c>
      <c r="L3" s="4" t="s">
        <v>4</v>
      </c>
      <c r="N3" s="8" t="s">
        <v>30</v>
      </c>
    </row>
    <row r="4" spans="1:14" x14ac:dyDescent="0.35">
      <c r="A4" s="7" t="s">
        <v>27</v>
      </c>
      <c r="B4" s="7">
        <v>8192</v>
      </c>
      <c r="D4" s="5">
        <v>1</v>
      </c>
      <c r="E4">
        <v>1</v>
      </c>
      <c r="F4" s="1" t="s">
        <v>16</v>
      </c>
      <c r="G4">
        <v>3</v>
      </c>
      <c r="H4">
        <v>98.284139891086525</v>
      </c>
      <c r="I4">
        <v>0.61676147798971104</v>
      </c>
      <c r="J4">
        <v>-6.2597452589782721E-2</v>
      </c>
      <c r="K4">
        <v>0.40027364041394009</v>
      </c>
      <c r="L4">
        <v>-6.6929383752105456E-2</v>
      </c>
      <c r="N4">
        <v>16.736753702163696</v>
      </c>
    </row>
    <row r="5" spans="1:14" x14ac:dyDescent="0.35">
      <c r="A5" s="7" t="s">
        <v>17</v>
      </c>
      <c r="B5" s="7" t="s">
        <v>7</v>
      </c>
      <c r="D5" s="5">
        <v>1</v>
      </c>
      <c r="E5" s="1" t="s">
        <v>15</v>
      </c>
      <c r="F5" s="1" t="s">
        <v>26</v>
      </c>
      <c r="G5">
        <v>6</v>
      </c>
      <c r="H5">
        <v>99.768453578567446</v>
      </c>
      <c r="I5">
        <v>0.47700159452094476</v>
      </c>
      <c r="J5">
        <v>-6.0217144162427259E-2</v>
      </c>
      <c r="K5">
        <v>0.17708289214614684</v>
      </c>
      <c r="L5">
        <v>-5.2450790163386773E-2</v>
      </c>
      <c r="N5">
        <v>21.622910737991333</v>
      </c>
    </row>
    <row r="6" spans="1:14" x14ac:dyDescent="0.35">
      <c r="A6" s="7" t="s">
        <v>28</v>
      </c>
      <c r="B6" s="7" t="s">
        <v>33</v>
      </c>
      <c r="D6" s="5">
        <v>1</v>
      </c>
      <c r="E6">
        <v>0</v>
      </c>
      <c r="F6">
        <v>0</v>
      </c>
      <c r="G6">
        <v>3</v>
      </c>
      <c r="H6">
        <v>98.119355718885217</v>
      </c>
      <c r="I6">
        <v>1.1252720937012546E-2</v>
      </c>
      <c r="J6">
        <v>-3.3537067806116991E-3</v>
      </c>
      <c r="K6">
        <v>3.4143598474864922E-2</v>
      </c>
      <c r="L6">
        <v>-4.2046133874027482E-3</v>
      </c>
      <c r="N6">
        <v>21.890640020370483</v>
      </c>
    </row>
    <row r="7" spans="1:14" x14ac:dyDescent="0.35">
      <c r="A7" s="7" t="s">
        <v>29</v>
      </c>
      <c r="B7" s="7" t="s">
        <v>5</v>
      </c>
      <c r="D7" s="6" t="s">
        <v>31</v>
      </c>
      <c r="E7">
        <v>1</v>
      </c>
      <c r="F7" s="1" t="s">
        <v>16</v>
      </c>
      <c r="G7">
        <v>6</v>
      </c>
      <c r="H7">
        <v>90.096524913960252</v>
      </c>
      <c r="I7">
        <v>0.50917681228274081</v>
      </c>
      <c r="J7">
        <v>6.1811169577283467E-3</v>
      </c>
      <c r="K7">
        <v>0.60409074439082733</v>
      </c>
      <c r="L7">
        <v>-2.1242276807560877E-2</v>
      </c>
      <c r="N7">
        <v>22.148919105529785</v>
      </c>
    </row>
    <row r="8" spans="1:14" x14ac:dyDescent="0.35">
      <c r="A8" s="7" t="s">
        <v>14</v>
      </c>
      <c r="B8" s="7">
        <v>1</v>
      </c>
      <c r="D8" s="6" t="s">
        <v>31</v>
      </c>
      <c r="E8" s="1" t="s">
        <v>15</v>
      </c>
      <c r="F8" s="1" t="s">
        <v>26</v>
      </c>
      <c r="G8">
        <v>3</v>
      </c>
      <c r="H8">
        <v>90.197692564772396</v>
      </c>
      <c r="I8">
        <v>0.53576972614888918</v>
      </c>
      <c r="J8">
        <v>2.9873040596513599E-3</v>
      </c>
      <c r="K8">
        <v>0.34888471625534878</v>
      </c>
      <c r="L8">
        <v>2.554792462286274E-2</v>
      </c>
      <c r="N8">
        <v>20.701076030731201</v>
      </c>
    </row>
    <row r="9" spans="1:14" x14ac:dyDescent="0.35">
      <c r="A9" s="7" t="s">
        <v>34</v>
      </c>
      <c r="B9" s="7">
        <v>1</v>
      </c>
      <c r="D9" s="6" t="s">
        <v>31</v>
      </c>
      <c r="E9">
        <v>0</v>
      </c>
      <c r="F9">
        <v>0</v>
      </c>
      <c r="G9">
        <v>6</v>
      </c>
      <c r="H9">
        <v>97.418743701950334</v>
      </c>
      <c r="I9">
        <v>6.0216114533308766E-2</v>
      </c>
      <c r="J9">
        <v>2.3416252327101545E-3</v>
      </c>
      <c r="K9">
        <v>4.1703043759520365E-2</v>
      </c>
      <c r="L9">
        <v>2.7628831693104067E-3</v>
      </c>
      <c r="N9">
        <v>21.317767381668091</v>
      </c>
    </row>
    <row r="10" spans="1:14" x14ac:dyDescent="0.35">
      <c r="A10" s="7" t="s">
        <v>35</v>
      </c>
      <c r="B10" s="7">
        <f>1/158.2</f>
        <v>6.3211125158027818E-3</v>
      </c>
      <c r="D10" s="5">
        <v>0</v>
      </c>
      <c r="E10">
        <v>1</v>
      </c>
      <c r="F10" s="1" t="s">
        <v>16</v>
      </c>
      <c r="G10">
        <v>3</v>
      </c>
      <c r="H10">
        <v>100.75772429487671</v>
      </c>
      <c r="I10">
        <v>0</v>
      </c>
      <c r="J10">
        <v>0</v>
      </c>
      <c r="K10">
        <v>0</v>
      </c>
      <c r="L10">
        <v>0</v>
      </c>
      <c r="N10">
        <v>20.706884622573853</v>
      </c>
    </row>
    <row r="11" spans="1:14" x14ac:dyDescent="0.35">
      <c r="A11" s="7"/>
      <c r="B11" s="9"/>
      <c r="D11" s="5">
        <v>0</v>
      </c>
      <c r="E11" s="1" t="s">
        <v>15</v>
      </c>
      <c r="F11" s="1" t="s">
        <v>26</v>
      </c>
      <c r="G11">
        <v>6</v>
      </c>
      <c r="H11">
        <v>99.86925468895987</v>
      </c>
      <c r="I11">
        <v>0</v>
      </c>
      <c r="J11">
        <v>0</v>
      </c>
      <c r="K11">
        <v>0</v>
      </c>
      <c r="L11">
        <v>0</v>
      </c>
      <c r="N11">
        <v>20.535349369049072</v>
      </c>
    </row>
    <row r="12" spans="1:14" x14ac:dyDescent="0.35">
      <c r="B12" s="10"/>
      <c r="D12" s="5">
        <v>0</v>
      </c>
      <c r="E12" s="5">
        <v>0</v>
      </c>
      <c r="F12" s="5">
        <v>0</v>
      </c>
      <c r="G12" s="5">
        <v>3</v>
      </c>
      <c r="H12" s="5">
        <v>98.782082642036002</v>
      </c>
      <c r="I12" s="5">
        <v>0</v>
      </c>
      <c r="J12" s="5">
        <v>0</v>
      </c>
      <c r="K12" s="5">
        <v>0</v>
      </c>
      <c r="L12" s="5">
        <v>0</v>
      </c>
      <c r="M12" s="5"/>
      <c r="N12" s="5">
        <v>23.784693956375122</v>
      </c>
    </row>
    <row r="14" spans="1:14" x14ac:dyDescent="0.35">
      <c r="A14" s="8" t="s">
        <v>37</v>
      </c>
    </row>
    <row r="15" spans="1:14" ht="43.5" x14ac:dyDescent="0.35">
      <c r="A15" s="11" t="s">
        <v>36</v>
      </c>
    </row>
    <row r="19" spans="1:14" x14ac:dyDescent="0.35">
      <c r="A19" s="12" t="s">
        <v>19</v>
      </c>
      <c r="B19" s="12">
        <v>2</v>
      </c>
      <c r="D19" s="16" t="s">
        <v>38</v>
      </c>
      <c r="E19" s="16"/>
      <c r="F19" s="16"/>
      <c r="G19" s="16"/>
      <c r="H19" s="16"/>
      <c r="I19" s="16"/>
      <c r="J19" s="16"/>
      <c r="K19" s="16"/>
      <c r="L19" s="16"/>
    </row>
    <row r="20" spans="1:14" x14ac:dyDescent="0.35">
      <c r="A20" s="12" t="s">
        <v>43</v>
      </c>
      <c r="B20" s="12">
        <v>100</v>
      </c>
      <c r="D20" s="16"/>
      <c r="E20" s="16"/>
      <c r="F20" s="16"/>
      <c r="G20" s="16"/>
      <c r="H20" s="16"/>
      <c r="I20" s="16"/>
      <c r="J20" s="16"/>
      <c r="K20" s="16"/>
      <c r="L20" s="16"/>
    </row>
    <row r="21" spans="1:14" x14ac:dyDescent="0.35">
      <c r="A21" s="7" t="s">
        <v>27</v>
      </c>
      <c r="B21" s="7">
        <v>8192</v>
      </c>
      <c r="D21" s="3" t="s">
        <v>23</v>
      </c>
      <c r="E21" s="3" t="s">
        <v>24</v>
      </c>
      <c r="F21" s="3" t="s">
        <v>12</v>
      </c>
      <c r="G21" s="3" t="s">
        <v>25</v>
      </c>
      <c r="H21" s="4" t="s">
        <v>1</v>
      </c>
      <c r="I21" s="4" t="s">
        <v>2</v>
      </c>
      <c r="J21" s="4" t="s">
        <v>3</v>
      </c>
      <c r="K21" s="4" t="s">
        <v>18</v>
      </c>
      <c r="L21" s="4" t="s">
        <v>4</v>
      </c>
      <c r="N21" s="8" t="s">
        <v>42</v>
      </c>
    </row>
    <row r="22" spans="1:14" x14ac:dyDescent="0.35">
      <c r="A22" s="7" t="s">
        <v>17</v>
      </c>
      <c r="B22" s="7" t="s">
        <v>39</v>
      </c>
      <c r="D22" s="5">
        <v>1</v>
      </c>
      <c r="E22">
        <v>1</v>
      </c>
      <c r="F22" s="1" t="s">
        <v>16</v>
      </c>
      <c r="G22">
        <v>3</v>
      </c>
      <c r="H22">
        <v>89.185770027874554</v>
      </c>
      <c r="I22">
        <v>3.6505529008327366</v>
      </c>
      <c r="J22">
        <v>0.15423131965534145</v>
      </c>
      <c r="K22">
        <v>4.1328222751132024</v>
      </c>
      <c r="L22">
        <v>-0.23000669444233812</v>
      </c>
      <c r="N22">
        <v>53.905050277709961</v>
      </c>
    </row>
    <row r="23" spans="1:14" x14ac:dyDescent="0.35">
      <c r="A23" s="7" t="s">
        <v>7</v>
      </c>
      <c r="B23" s="7" t="s">
        <v>33</v>
      </c>
      <c r="D23" s="5">
        <v>1</v>
      </c>
      <c r="E23" s="1" t="s">
        <v>15</v>
      </c>
      <c r="F23" s="1" t="s">
        <v>26</v>
      </c>
      <c r="G23">
        <v>6</v>
      </c>
      <c r="H23">
        <v>90.962349061478903</v>
      </c>
      <c r="I23">
        <v>2.6690338898528956</v>
      </c>
      <c r="J23">
        <v>0.16325028215194659</v>
      </c>
      <c r="K23">
        <v>2.6223266627035295</v>
      </c>
      <c r="L23">
        <v>0.14210552134622104</v>
      </c>
      <c r="N23">
        <v>52.901383638381958</v>
      </c>
    </row>
    <row r="24" spans="1:14" x14ac:dyDescent="0.35">
      <c r="A24" s="7" t="s">
        <v>6</v>
      </c>
      <c r="B24" s="7" t="s">
        <v>41</v>
      </c>
      <c r="C24" s="7" t="s">
        <v>40</v>
      </c>
      <c r="D24" s="5">
        <v>1</v>
      </c>
      <c r="E24">
        <v>0</v>
      </c>
      <c r="F24">
        <v>0</v>
      </c>
      <c r="G24">
        <v>3</v>
      </c>
      <c r="H24">
        <v>97.945682866444628</v>
      </c>
      <c r="I24">
        <v>0.23735348570785667</v>
      </c>
      <c r="J24">
        <v>-2.0148004392473544E-2</v>
      </c>
      <c r="K24">
        <v>0.27798157529427997</v>
      </c>
      <c r="L24">
        <v>-4.9244083634403746E-2</v>
      </c>
      <c r="N24">
        <v>53.140127897262573</v>
      </c>
    </row>
    <row r="25" spans="1:14" x14ac:dyDescent="0.35">
      <c r="A25" s="7" t="s">
        <v>14</v>
      </c>
      <c r="B25" s="7">
        <v>1</v>
      </c>
      <c r="C25" s="7">
        <f>1.98/33.875</f>
        <v>5.8450184501845019E-2</v>
      </c>
      <c r="D25" s="6" t="s">
        <v>31</v>
      </c>
      <c r="E25">
        <v>1</v>
      </c>
      <c r="F25" s="1" t="s">
        <v>16</v>
      </c>
      <c r="G25">
        <v>6</v>
      </c>
      <c r="H25">
        <v>87.950772434264366</v>
      </c>
      <c r="I25">
        <v>3.5140479114868604</v>
      </c>
      <c r="J25">
        <v>0.17906319757775355</v>
      </c>
      <c r="K25">
        <v>2.5915078209931921</v>
      </c>
      <c r="L25">
        <v>0.12281484809843426</v>
      </c>
      <c r="N25">
        <v>50.98989725112915</v>
      </c>
    </row>
    <row r="26" spans="1:14" x14ac:dyDescent="0.35">
      <c r="A26" s="7" t="s">
        <v>29</v>
      </c>
      <c r="B26" s="9" t="s">
        <v>5</v>
      </c>
      <c r="C26" s="7">
        <f>1/158.2</f>
        <v>6.3211125158027818E-3</v>
      </c>
      <c r="D26" s="6" t="s">
        <v>31</v>
      </c>
      <c r="E26" s="1" t="s">
        <v>15</v>
      </c>
      <c r="F26" s="1" t="s">
        <v>26</v>
      </c>
      <c r="G26">
        <v>3</v>
      </c>
      <c r="H26">
        <v>89.264909637595323</v>
      </c>
      <c r="I26">
        <v>2.9160556308119578</v>
      </c>
      <c r="J26">
        <v>-0.53279450068635792</v>
      </c>
      <c r="K26">
        <v>2.4588053458057049</v>
      </c>
      <c r="L26">
        <v>0.15895165663723931</v>
      </c>
      <c r="N26">
        <v>49.141405344009399</v>
      </c>
    </row>
    <row r="27" spans="1:14" x14ac:dyDescent="0.35">
      <c r="D27" s="6" t="s">
        <v>31</v>
      </c>
      <c r="E27">
        <v>0</v>
      </c>
      <c r="F27">
        <v>0</v>
      </c>
      <c r="G27">
        <v>6</v>
      </c>
      <c r="H27">
        <v>97.983903671918327</v>
      </c>
      <c r="I27">
        <v>0.35825686860131578</v>
      </c>
      <c r="J27">
        <v>-3.4202219159704186E-2</v>
      </c>
      <c r="K27">
        <v>0.23859549175845834</v>
      </c>
      <c r="L27">
        <v>-0.10929414549944295</v>
      </c>
      <c r="N27">
        <v>51.010882139205933</v>
      </c>
    </row>
    <row r="28" spans="1:14" x14ac:dyDescent="0.35">
      <c r="D28" s="6" t="s">
        <v>32</v>
      </c>
      <c r="E28">
        <v>1</v>
      </c>
      <c r="F28" s="1" t="s">
        <v>16</v>
      </c>
      <c r="G28">
        <v>3</v>
      </c>
      <c r="H28">
        <v>86.725914301269569</v>
      </c>
      <c r="I28">
        <v>3.1415337236872434</v>
      </c>
      <c r="J28">
        <v>-0.20109313165796588</v>
      </c>
      <c r="K28">
        <v>2.794796789314431</v>
      </c>
      <c r="L28">
        <v>-0.17832396992993699</v>
      </c>
      <c r="N28">
        <v>52.79632830619812</v>
      </c>
    </row>
    <row r="29" spans="1:14" x14ac:dyDescent="0.35">
      <c r="D29" s="6" t="s">
        <v>32</v>
      </c>
      <c r="E29" s="1" t="s">
        <v>15</v>
      </c>
      <c r="F29" s="1" t="s">
        <v>26</v>
      </c>
      <c r="G29">
        <v>6</v>
      </c>
      <c r="H29">
        <v>88.896294544300119</v>
      </c>
      <c r="K29">
        <v>3.1874093203035665</v>
      </c>
      <c r="L29">
        <v>3.1597272789514436E-2</v>
      </c>
      <c r="N29">
        <v>53.985421180725098</v>
      </c>
    </row>
    <row r="30" spans="1:14" x14ac:dyDescent="0.35">
      <c r="A30" s="8" t="s">
        <v>37</v>
      </c>
      <c r="D30" s="6" t="s">
        <v>32</v>
      </c>
      <c r="E30" s="5">
        <v>0</v>
      </c>
      <c r="F30" s="5">
        <v>0</v>
      </c>
      <c r="G30" s="5">
        <v>3</v>
      </c>
      <c r="H30" s="5">
        <v>97.067898187018869</v>
      </c>
      <c r="I30" s="5">
        <v>0.11237725295227147</v>
      </c>
      <c r="J30" s="5">
        <v>1.6509855546262747E-2</v>
      </c>
      <c r="K30" s="5">
        <v>0.13926288609979229</v>
      </c>
      <c r="L30" s="5">
        <v>5.1186102315078294E-3</v>
      </c>
      <c r="M30" s="5"/>
      <c r="N30" s="5">
        <v>54.18982982635498</v>
      </c>
    </row>
    <row r="31" spans="1:14" ht="43.5" x14ac:dyDescent="0.35">
      <c r="A31" s="11" t="s">
        <v>36</v>
      </c>
    </row>
  </sheetData>
  <mergeCells count="2">
    <mergeCell ref="D19:L20"/>
    <mergeCell ref="D1:L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6C7-2B7F-4C4D-9D73-223C7E4CE1E2}">
  <dimension ref="A1:M7"/>
  <sheetViews>
    <sheetView workbookViewId="0">
      <selection activeCell="H15" sqref="H15"/>
    </sheetView>
  </sheetViews>
  <sheetFormatPr baseColWidth="10" defaultRowHeight="14.5" x14ac:dyDescent="0.35"/>
  <cols>
    <col min="4" max="4" width="4.1796875" bestFit="1" customWidth="1"/>
    <col min="6" max="6" width="13.1796875" bestFit="1" customWidth="1"/>
    <col min="8" max="8" width="20.1796875" bestFit="1" customWidth="1"/>
    <col min="9" max="9" width="21.1796875" bestFit="1" customWidth="1"/>
    <col min="10" max="10" width="11.26953125" bestFit="1" customWidth="1"/>
    <col min="11" max="11" width="8.1796875" bestFit="1" customWidth="1"/>
    <col min="12" max="12" width="8.1796875" customWidth="1"/>
  </cols>
  <sheetData>
    <row r="1" spans="1:13" x14ac:dyDescent="0.35">
      <c r="J1" s="17" t="s">
        <v>50</v>
      </c>
      <c r="K1" s="17"/>
      <c r="L1" s="21"/>
      <c r="M1" s="18" t="s">
        <v>5</v>
      </c>
    </row>
    <row r="3" spans="1:13" x14ac:dyDescent="0.35">
      <c r="A3" s="8" t="s">
        <v>28</v>
      </c>
      <c r="B3" s="8" t="s">
        <v>33</v>
      </c>
      <c r="D3" s="19" t="s">
        <v>45</v>
      </c>
      <c r="E3" s="19" t="s">
        <v>14</v>
      </c>
      <c r="F3" s="19" t="s">
        <v>46</v>
      </c>
      <c r="G3" s="19" t="s">
        <v>47</v>
      </c>
      <c r="H3" s="19" t="s">
        <v>54</v>
      </c>
      <c r="I3" s="19" t="s">
        <v>58</v>
      </c>
      <c r="J3" t="s">
        <v>48</v>
      </c>
      <c r="K3" s="20" t="s">
        <v>49</v>
      </c>
      <c r="L3" s="20"/>
      <c r="M3" s="20" t="s">
        <v>49</v>
      </c>
    </row>
    <row r="4" spans="1:13" x14ac:dyDescent="0.35">
      <c r="A4" s="8" t="s">
        <v>51</v>
      </c>
      <c r="B4" s="8" t="s">
        <v>52</v>
      </c>
      <c r="D4" t="s">
        <v>55</v>
      </c>
      <c r="E4" s="22">
        <v>1</v>
      </c>
      <c r="F4" s="22" t="s">
        <v>57</v>
      </c>
      <c r="G4" s="22">
        <v>0</v>
      </c>
      <c r="H4" s="22" t="s">
        <v>16</v>
      </c>
      <c r="I4" s="22" t="s">
        <v>59</v>
      </c>
      <c r="J4" s="22" t="s">
        <v>65</v>
      </c>
      <c r="K4" s="22" t="s">
        <v>63</v>
      </c>
      <c r="M4" s="22" t="s">
        <v>63</v>
      </c>
    </row>
    <row r="5" spans="1:13" x14ac:dyDescent="0.35">
      <c r="A5" s="8" t="s">
        <v>40</v>
      </c>
      <c r="B5" s="8" t="s">
        <v>53</v>
      </c>
      <c r="D5" t="s">
        <v>55</v>
      </c>
      <c r="E5" s="22" t="s">
        <v>56</v>
      </c>
      <c r="F5" s="22">
        <v>1</v>
      </c>
      <c r="G5" s="22" t="s">
        <v>57</v>
      </c>
      <c r="H5" s="22" t="s">
        <v>16</v>
      </c>
      <c r="I5" s="22" t="s">
        <v>60</v>
      </c>
      <c r="J5" s="22" t="s">
        <v>67</v>
      </c>
      <c r="K5" t="s">
        <v>64</v>
      </c>
      <c r="M5" t="s">
        <v>66</v>
      </c>
    </row>
    <row r="6" spans="1:13" x14ac:dyDescent="0.35">
      <c r="D6" t="s">
        <v>55</v>
      </c>
      <c r="E6" s="22">
        <v>1</v>
      </c>
      <c r="F6" s="22" t="s">
        <v>56</v>
      </c>
      <c r="G6" s="22" t="s">
        <v>15</v>
      </c>
      <c r="H6" s="22" t="s">
        <v>16</v>
      </c>
      <c r="I6" s="22" t="s">
        <v>61</v>
      </c>
      <c r="J6" s="22" t="s">
        <v>72</v>
      </c>
      <c r="K6" t="s">
        <v>70</v>
      </c>
      <c r="M6" t="s">
        <v>71</v>
      </c>
    </row>
    <row r="7" spans="1:13" x14ac:dyDescent="0.35">
      <c r="D7" t="s">
        <v>55</v>
      </c>
      <c r="E7" s="22">
        <v>1</v>
      </c>
      <c r="F7" s="22" t="s">
        <v>56</v>
      </c>
      <c r="G7" s="22" t="s">
        <v>15</v>
      </c>
      <c r="H7" s="22" t="s">
        <v>16</v>
      </c>
      <c r="I7" s="22" t="s">
        <v>62</v>
      </c>
      <c r="J7" s="22" t="s">
        <v>69</v>
      </c>
      <c r="K7" s="22" t="s">
        <v>70</v>
      </c>
      <c r="M7" t="s">
        <v>68</v>
      </c>
    </row>
  </sheetData>
  <mergeCells count="1">
    <mergeCell ref="J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Main</vt:lpstr>
      <vt:lpstr>Calibration_Plots</vt:lpstr>
      <vt:lpstr>Arbitrage</vt:lpstr>
      <vt:lpstr>Vol_surfaces</vt:lpstr>
      <vt:lpstr>Greeks_test</vt:lpstr>
      <vt:lpstr>Test_pricer_online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EL GHOUL Melek</dc:creator>
  <cp:lastModifiedBy>BEN EL GHOUL Melek</cp:lastModifiedBy>
  <dcterms:created xsi:type="dcterms:W3CDTF">2024-05-29T07:47:02Z</dcterms:created>
  <dcterms:modified xsi:type="dcterms:W3CDTF">2024-06-10T12:00:26Z</dcterms:modified>
</cp:coreProperties>
</file>